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ilkaybuyukonat/Desktop/"/>
    </mc:Choice>
  </mc:AlternateContent>
  <xr:revisionPtr revIDLastSave="0" documentId="8_{516CB907-9C84-B849-BAB9-37542F20B3B1}" xr6:coauthVersionLast="47" xr6:coauthVersionMax="47" xr10:uidLastSave="{00000000-0000-0000-0000-000000000000}"/>
  <bookViews>
    <workbookView xWindow="3040" yWindow="1160" windowWidth="21600" windowHeight="12740" activeTab="2" xr2:uid="{1DFBC904-31F9-422F-81EC-B0104819BB1C}"/>
  </bookViews>
  <sheets>
    <sheet name="SPC (combination with TCS)" sheetId="1" state="hidden" r:id="rId1"/>
    <sheet name="NMA (Monotherapy)" sheetId="4" state="hidden" r:id="rId2"/>
    <sheet name="Drucker NMA (NEW)" sheetId="5" r:id="rId3"/>
    <sheet name="Dosing Schedule" sheetId="6" r:id="rId4"/>
    <sheet name="Sheet2" sheetId="2" state="hidden" r:id="rId5"/>
    <sheet name="Sheet3" sheetId="3" state="hidden" r:id="rId6"/>
  </sheets>
  <definedNames>
    <definedName name="_xlnm._FilterDatabase" localSheetId="2" hidden="1">'Drucker NMA (NEW)'!$A$17:$P$28</definedName>
    <definedName name="_xlnm._FilterDatabase" localSheetId="0" hidden="1">'SPC (combination with TCS)'!$A$17:$M$26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5" l="1"/>
  <c r="D25" i="5"/>
  <c r="D72" i="5"/>
  <c r="D73" i="5"/>
  <c r="D23" i="5"/>
  <c r="D19" i="5"/>
  <c r="F42" i="5"/>
  <c r="E42" i="5"/>
  <c r="D42" i="5"/>
  <c r="E47" i="5" l="1"/>
  <c r="D24" i="5"/>
  <c r="D56" i="5"/>
  <c r="E53" i="5"/>
  <c r="F53" i="5"/>
  <c r="F50" i="5"/>
  <c r="F45" i="5"/>
  <c r="E56" i="5"/>
  <c r="F56" i="5" s="1"/>
  <c r="D53" i="5"/>
  <c r="D50" i="5"/>
  <c r="E25" i="5"/>
  <c r="E26" i="5"/>
  <c r="E24" i="5"/>
  <c r="G24" i="5"/>
  <c r="H24" i="5"/>
  <c r="F24" i="5"/>
  <c r="D22" i="5"/>
  <c r="D45" i="5" s="1"/>
  <c r="D21" i="5"/>
  <c r="F21" i="5" s="1"/>
  <c r="D18" i="5"/>
  <c r="G29" i="6"/>
  <c r="E29" i="6"/>
  <c r="F29" i="6"/>
  <c r="D29" i="6"/>
  <c r="C29" i="6"/>
  <c r="B29" i="6"/>
  <c r="O77" i="5"/>
  <c r="O76" i="5"/>
  <c r="O75" i="5"/>
  <c r="O74" i="5"/>
  <c r="O73" i="5"/>
  <c r="O72" i="5"/>
  <c r="N78" i="5"/>
  <c r="K77" i="5"/>
  <c r="K76" i="5"/>
  <c r="K75" i="5"/>
  <c r="K74" i="5"/>
  <c r="K73" i="5"/>
  <c r="K72" i="5"/>
  <c r="J78" i="5"/>
  <c r="D27" i="5"/>
  <c r="F27" i="5" s="1"/>
  <c r="D28" i="5"/>
  <c r="F28" i="5" s="1"/>
  <c r="H19" i="5"/>
  <c r="D20" i="5"/>
  <c r="E20" i="5" s="1"/>
  <c r="F78" i="5"/>
  <c r="B78" i="5"/>
  <c r="G77" i="5"/>
  <c r="C77" i="5"/>
  <c r="G76" i="5"/>
  <c r="C76" i="5"/>
  <c r="G75" i="5"/>
  <c r="C75" i="5"/>
  <c r="G74" i="5"/>
  <c r="C74" i="5"/>
  <c r="G73" i="5"/>
  <c r="C73" i="5"/>
  <c r="G72" i="5"/>
  <c r="C72" i="5"/>
  <c r="E26" i="1"/>
  <c r="D26" i="1"/>
  <c r="D25" i="1"/>
  <c r="D24" i="1"/>
  <c r="D23" i="1"/>
  <c r="D22" i="1"/>
  <c r="D21" i="1"/>
  <c r="D20" i="1"/>
  <c r="D19" i="1"/>
  <c r="D18" i="1"/>
  <c r="E44" i="1"/>
  <c r="C44" i="1"/>
  <c r="C56" i="1"/>
  <c r="C55" i="1"/>
  <c r="C47" i="1"/>
  <c r="C45" i="1"/>
  <c r="G18" i="1"/>
  <c r="C53" i="1"/>
  <c r="C52" i="1"/>
  <c r="C50" i="1"/>
  <c r="C49" i="1"/>
  <c r="G81" i="4"/>
  <c r="B81" i="4"/>
  <c r="H80" i="4"/>
  <c r="C80" i="4"/>
  <c r="H79" i="4"/>
  <c r="C79" i="4"/>
  <c r="H78" i="4"/>
  <c r="C78" i="4"/>
  <c r="H77" i="4"/>
  <c r="H81" i="4" s="1"/>
  <c r="C77" i="4"/>
  <c r="H76" i="4"/>
  <c r="C76" i="4"/>
  <c r="H75" i="4"/>
  <c r="C75" i="4"/>
  <c r="C52" i="4"/>
  <c r="C51" i="4"/>
  <c r="C49" i="4"/>
  <c r="C48" i="4"/>
  <c r="C44" i="4"/>
  <c r="C43" i="4"/>
  <c r="D25" i="4"/>
  <c r="C58" i="4" s="1"/>
  <c r="D24" i="4"/>
  <c r="H24" i="4" s="1"/>
  <c r="D23" i="4"/>
  <c r="H23" i="4" s="1"/>
  <c r="D22" i="4"/>
  <c r="H22" i="4" s="1"/>
  <c r="D21" i="4"/>
  <c r="G21" i="4" s="1"/>
  <c r="D20" i="4"/>
  <c r="H20" i="4" s="1"/>
  <c r="D19" i="4"/>
  <c r="E19" i="4" s="1"/>
  <c r="D18" i="4"/>
  <c r="H18" i="4" s="1"/>
  <c r="D17" i="4"/>
  <c r="E17" i="4" s="1"/>
  <c r="G26" i="5" l="1"/>
  <c r="F26" i="5"/>
  <c r="H26" i="5"/>
  <c r="H18" i="5"/>
  <c r="H22" i="5"/>
  <c r="D47" i="5"/>
  <c r="D74" i="5" s="1"/>
  <c r="D75" i="5"/>
  <c r="G25" i="5"/>
  <c r="G20" i="5"/>
  <c r="O78" i="5"/>
  <c r="K78" i="5"/>
  <c r="F18" i="5"/>
  <c r="H73" i="5"/>
  <c r="G18" i="5"/>
  <c r="G21" i="5"/>
  <c r="E21" i="5"/>
  <c r="E50" i="5" s="1"/>
  <c r="P75" i="5" s="1"/>
  <c r="H21" i="5"/>
  <c r="H20" i="5"/>
  <c r="H25" i="5"/>
  <c r="H72" i="5"/>
  <c r="G23" i="5"/>
  <c r="E28" i="5"/>
  <c r="G28" i="5"/>
  <c r="G22" i="5"/>
  <c r="E18" i="5"/>
  <c r="F25" i="5"/>
  <c r="F23" i="5"/>
  <c r="G19" i="5"/>
  <c r="C78" i="5"/>
  <c r="E23" i="5"/>
  <c r="L77" i="5" s="1"/>
  <c r="F22" i="5"/>
  <c r="H28" i="5"/>
  <c r="G78" i="5"/>
  <c r="F20" i="5"/>
  <c r="H27" i="5"/>
  <c r="F19" i="5"/>
  <c r="H23" i="5"/>
  <c r="E27" i="5"/>
  <c r="E22" i="5"/>
  <c r="E45" i="5" s="1"/>
  <c r="L73" i="5" s="1"/>
  <c r="E19" i="5"/>
  <c r="G27" i="5"/>
  <c r="E48" i="4"/>
  <c r="D77" i="4" s="1"/>
  <c r="H21" i="4"/>
  <c r="E51" i="4"/>
  <c r="F51" i="4" s="1"/>
  <c r="J78" i="4" s="1"/>
  <c r="C46" i="4"/>
  <c r="E46" i="4" s="1"/>
  <c r="F46" i="4" s="1"/>
  <c r="J76" i="4" s="1"/>
  <c r="H19" i="4"/>
  <c r="E43" i="4"/>
  <c r="F43" i="4" s="1"/>
  <c r="E24" i="4"/>
  <c r="F24" i="4"/>
  <c r="C54" i="4"/>
  <c r="G24" i="4"/>
  <c r="C55" i="4"/>
  <c r="F19" i="4"/>
  <c r="G19" i="4"/>
  <c r="H25" i="4"/>
  <c r="C81" i="4"/>
  <c r="F17" i="4"/>
  <c r="E22" i="4"/>
  <c r="G17" i="4"/>
  <c r="F22" i="4"/>
  <c r="H17" i="4"/>
  <c r="E20" i="4"/>
  <c r="G22" i="4"/>
  <c r="C57" i="4"/>
  <c r="E57" i="4" s="1"/>
  <c r="F57" i="4" s="1"/>
  <c r="E80" i="4" s="1"/>
  <c r="F20" i="4"/>
  <c r="E25" i="4"/>
  <c r="E18" i="4"/>
  <c r="G20" i="4"/>
  <c r="F25" i="4"/>
  <c r="F18" i="4"/>
  <c r="E23" i="4"/>
  <c r="G25" i="4"/>
  <c r="G18" i="4"/>
  <c r="F23" i="4"/>
  <c r="E21" i="4"/>
  <c r="G23" i="4"/>
  <c r="F21" i="4"/>
  <c r="L72" i="5" l="1"/>
  <c r="H74" i="5"/>
  <c r="H75" i="5"/>
  <c r="P73" i="5"/>
  <c r="L76" i="5"/>
  <c r="P77" i="5"/>
  <c r="L75" i="5"/>
  <c r="F47" i="5"/>
  <c r="D76" i="5"/>
  <c r="H77" i="5"/>
  <c r="D77" i="5"/>
  <c r="E76" i="4"/>
  <c r="I77" i="4"/>
  <c r="F48" i="4"/>
  <c r="E77" i="4" s="1"/>
  <c r="I75" i="4"/>
  <c r="D75" i="4"/>
  <c r="I78" i="4"/>
  <c r="D78" i="4"/>
  <c r="E78" i="4"/>
  <c r="D76" i="4"/>
  <c r="I76" i="4"/>
  <c r="J80" i="4"/>
  <c r="D80" i="4"/>
  <c r="E54" i="4"/>
  <c r="E75" i="4"/>
  <c r="J75" i="4"/>
  <c r="I80" i="4"/>
  <c r="P76" i="5" l="1"/>
  <c r="P72" i="5"/>
  <c r="L74" i="5"/>
  <c r="P74" i="5"/>
  <c r="D78" i="5"/>
  <c r="H76" i="5"/>
  <c r="H78" i="5" s="1"/>
  <c r="J77" i="4"/>
  <c r="F54" i="4"/>
  <c r="D79" i="4"/>
  <c r="D81" i="4" s="1"/>
  <c r="I79" i="4"/>
  <c r="I81" i="4" s="1"/>
  <c r="L78" i="5" l="1"/>
  <c r="P78" i="5"/>
  <c r="G80" i="5"/>
  <c r="I83" i="4"/>
  <c r="J79" i="4"/>
  <c r="J81" i="4" s="1"/>
  <c r="E79" i="4"/>
  <c r="E81" i="4" s="1"/>
  <c r="O80" i="5" l="1"/>
  <c r="J83" i="4"/>
  <c r="E18" i="1" l="1"/>
  <c r="G82" i="1"/>
  <c r="B82" i="1"/>
  <c r="H81" i="1"/>
  <c r="C81" i="1"/>
  <c r="H80" i="1"/>
  <c r="C80" i="1"/>
  <c r="H79" i="1"/>
  <c r="C79" i="1"/>
  <c r="H78" i="1"/>
  <c r="C78" i="1"/>
  <c r="H77" i="1"/>
  <c r="C77" i="1"/>
  <c r="H76" i="1"/>
  <c r="C76" i="1"/>
  <c r="E25" i="1"/>
  <c r="E55" i="1" l="1"/>
  <c r="C59" i="1"/>
  <c r="C58" i="1"/>
  <c r="H19" i="1"/>
  <c r="E19" i="1"/>
  <c r="F19" i="1"/>
  <c r="F22" i="1"/>
  <c r="E22" i="1"/>
  <c r="G20" i="1"/>
  <c r="E20" i="1"/>
  <c r="E24" i="1"/>
  <c r="G21" i="1"/>
  <c r="E21" i="1"/>
  <c r="H23" i="1"/>
  <c r="E23" i="1"/>
  <c r="F44" i="1"/>
  <c r="E76" i="1" s="1"/>
  <c r="H24" i="1"/>
  <c r="E52" i="1"/>
  <c r="F52" i="1" s="1"/>
  <c r="E79" i="1" s="1"/>
  <c r="E49" i="1"/>
  <c r="F49" i="1" s="1"/>
  <c r="E78" i="1" s="1"/>
  <c r="H21" i="1"/>
  <c r="E47" i="1"/>
  <c r="F47" i="1" s="1"/>
  <c r="E77" i="1" s="1"/>
  <c r="G24" i="1"/>
  <c r="C82" i="1"/>
  <c r="F24" i="1"/>
  <c r="H18" i="1"/>
  <c r="F25" i="1"/>
  <c r="G25" i="1"/>
  <c r="H25" i="1"/>
  <c r="H22" i="1"/>
  <c r="F20" i="1"/>
  <c r="H20" i="1"/>
  <c r="H26" i="1"/>
  <c r="F21" i="1"/>
  <c r="G22" i="1"/>
  <c r="G19" i="1"/>
  <c r="F26" i="1"/>
  <c r="G26" i="1"/>
  <c r="F23" i="1"/>
  <c r="F18" i="1"/>
  <c r="G23" i="1"/>
  <c r="H82" i="1"/>
  <c r="F55" i="1" l="1"/>
  <c r="E80" i="1" s="1"/>
  <c r="I78" i="1"/>
  <c r="D78" i="1"/>
  <c r="D79" i="1"/>
  <c r="I79" i="1"/>
  <c r="D76" i="1"/>
  <c r="J79" i="1"/>
  <c r="J76" i="1"/>
  <c r="I76" i="1"/>
  <c r="J78" i="1"/>
  <c r="D77" i="1"/>
  <c r="I77" i="1"/>
  <c r="J77" i="1"/>
  <c r="E58" i="1"/>
  <c r="J80" i="1" l="1"/>
  <c r="D80" i="1"/>
  <c r="I80" i="1"/>
  <c r="F58" i="1"/>
  <c r="D81" i="1"/>
  <c r="D82" i="1" s="1"/>
  <c r="I81" i="1"/>
  <c r="I82" i="1" s="1"/>
  <c r="I84" i="1" l="1"/>
  <c r="E81" i="1"/>
  <c r="E82" i="1" s="1"/>
  <c r="J81" i="1"/>
  <c r="J82" i="1" s="1"/>
  <c r="J8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Vaz, Krizand</author>
  </authors>
  <commentList>
    <comment ref="D12" authorId="0" shapeId="0" xr:uid="{41377BCC-CC8C-44F6-9B42-FA4E1E9D5A09}">
      <text>
        <r>
          <rPr>
            <sz val="11"/>
            <color theme="1"/>
            <rFont val="Aptos Narrow"/>
            <family val="2"/>
            <scheme val="minor"/>
          </rPr>
          <t xml:space="preserve">Vaz, Krizand:
Cost per Responder = Cost of Tx up to timepoint (16w) X (1/Probability of response %) 
“The cost per responder is calculated by taking the total cost of treatment up to the 16-week timepoint and multiplying it by the cost of achieving the response to an outcome* for one patient, which is represented by the inverse of the probability of response (expressed as a percentage).” 
*The following outcomes are assessed within the ‘cost of achieving the response’: 
EASI 50 
EASI75 
EASI90   
IGA-0/1 </t>
        </r>
      </text>
    </comment>
    <comment ref="H38" authorId="0" shapeId="0" xr:uid="{015D4E5A-91A8-498E-AF5A-D5CF9C13E957}">
      <text>
        <r>
          <rPr>
            <sz val="11"/>
            <color theme="1"/>
            <rFont val="Aptos Narrow"/>
            <family val="2"/>
            <scheme val="minor"/>
          </rPr>
          <t xml:space="preserve">Vaz, Krizand:
Cost per Responder = Cost of Tx up to timepoint (16w) X (1/Probability of response %) 
“The cost per responder is calculated by taking the total cost of treatment up to the 16-week timepoint and multiplying it by the cost of achieving the response to an outcome* for one patient, which is represented by the inverse of the probability of response (expressed as a percentage).” 
*The following outcomes are assessed within the ‘cost of achieving the response’: 
EASI 50 
EASI75 
EASI90   
IGA-0/1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Vaz, Krizand</author>
  </authors>
  <commentList>
    <comment ref="D12" authorId="0" shapeId="0" xr:uid="{B39BB96F-9567-4DA6-9663-C45468841201}">
      <text>
        <r>
          <rPr>
            <sz val="11"/>
            <color theme="1"/>
            <rFont val="Aptos Narrow"/>
            <family val="2"/>
            <scheme val="minor"/>
          </rPr>
          <t xml:space="preserve">Vaz, Krizand:
Cost per Responder = Cost of Tx up to timepoint (16w) X (1/Probability of response %) 
“The cost per responder is calculated by taking the total cost of treatment up to the 16-week timepoint and multiplying it by the cost of achieving the response to an outcome* for one patient, which is represented by the inverse of the probability of response (expressed as a percentage).” 
*The following outcomes are assessed within the ‘cost of achieving the response’: 
EASI 50 
EASI75 
EASI90   
IGA-0/1 </t>
        </r>
      </text>
    </comment>
    <comment ref="H36" authorId="0" shapeId="0" xr:uid="{CD3D767C-E39C-41E8-A0BA-A83D240E2E17}">
      <text>
        <r>
          <rPr>
            <sz val="11"/>
            <color theme="1"/>
            <rFont val="Aptos Narrow"/>
            <family val="2"/>
            <scheme val="minor"/>
          </rPr>
          <t xml:space="preserve">Vaz, Krizand:
Cost per Responder = Cost of Tx up to timepoint (16w) X (1/Probability of response %) 
“The cost per responder is calculated by taking the total cost of treatment up to the 16-week timepoint and multiplying it by the cost of achieving the response to an outcome* for one patient, which is represented by the inverse of the probability of response (expressed as a percentage).” 
*The following outcomes are assessed within the ‘cost of achieving the response’: 
EASI 50 
EASI75 
EASI90   
IGA-0/1 </t>
        </r>
      </text>
    </comment>
  </commentList>
</comments>
</file>

<file path=xl/sharedStrings.xml><?xml version="1.0" encoding="utf-8"?>
<sst xmlns="http://schemas.openxmlformats.org/spreadsheetml/2006/main" count="311" uniqueCount="98">
  <si>
    <r>
      <rPr>
        <b/>
        <sz val="11"/>
        <color rgb="FF000000"/>
        <rFont val="Aptos Narrow"/>
        <family val="2"/>
        <scheme val="minor"/>
      </rPr>
      <t xml:space="preserve">Feedback / Rationale 
</t>
    </r>
    <r>
      <rPr>
        <sz val="11"/>
        <color rgb="FF000000"/>
        <rFont val="Aptos Narrow"/>
        <family val="2"/>
        <scheme val="minor"/>
      </rPr>
      <t xml:space="preserve">1. Include all Tx options
2. Ability for customer to include PAS pricing for more accurate results 
</t>
    </r>
    <r>
      <rPr>
        <b/>
        <sz val="11"/>
        <color rgb="FF000000"/>
        <rFont val="Aptos Narrow"/>
        <family val="2"/>
        <scheme val="minor"/>
      </rPr>
      <t xml:space="preserve">
Objective
</t>
    </r>
    <r>
      <rPr>
        <sz val="11"/>
        <color rgb="FF000000"/>
        <rFont val="Aptos Narrow"/>
        <family val="2"/>
        <scheme val="minor"/>
      </rPr>
      <t xml:space="preserve">Help Clinicans &amp; payers understand:
1. The cost of achieving outcomes with each AD treatment 
2. The cost of maintaining patients on each treatment 
3. The potential cost savings with Abrocitinib use </t>
    </r>
  </si>
  <si>
    <t xml:space="preserve">1. Cost Per Responder (at 16 weeks) </t>
  </si>
  <si>
    <t>METHODOLOGY:</t>
  </si>
  <si>
    <r>
      <rPr>
        <b/>
        <sz val="11"/>
        <color rgb="FF000000"/>
        <rFont val="Aptos Narrow"/>
        <scheme val="minor"/>
      </rPr>
      <t xml:space="preserve">Cost per Responder up to 1 year = [Cost per treatment up to 1 year] * [(1/Probability of response from NMA)]
</t>
    </r>
    <r>
      <rPr>
        <sz val="11"/>
        <color rgb="FF000000"/>
        <rFont val="Aptos Narrow"/>
        <scheme val="minor"/>
      </rPr>
      <t xml:space="preserve">“The cost per responder is calculated by taking the total cost of treatment up to the 16-week timepoint and multiplying it by the cost of achieving the response to an outcome* for one patient, which is represented by the inverse of the probability of response (expressed as a percentage).” 
Assuming response rate at 16W is maintained to 1year
 *The following outcomes are assessed within the ‘cost of achieving the response’: EASI 50, EASI75, EASI90, IGA-0/1 </t>
    </r>
  </si>
  <si>
    <t xml:space="preserve">Outcome reference </t>
  </si>
  <si>
    <t>Drucker NMA</t>
  </si>
  <si>
    <t xml:space="preserve">Treatment </t>
  </si>
  <si>
    <t xml:space="preserve">Induction </t>
  </si>
  <si>
    <t>Cost / Outcome @1 year</t>
  </si>
  <si>
    <t>% Achievement from NMA</t>
  </si>
  <si>
    <t xml:space="preserve">Treatment Choice </t>
  </si>
  <si>
    <t xml:space="preserve">Reference in SPC* </t>
  </si>
  <si>
    <t xml:space="preserve">Cost / pack** </t>
  </si>
  <si>
    <t>Cost to 1 year</t>
  </si>
  <si>
    <t>EASI 50</t>
  </si>
  <si>
    <t>EASI 75</t>
  </si>
  <si>
    <t xml:space="preserve">EASI 90 </t>
  </si>
  <si>
    <t>IGA 0/1</t>
  </si>
  <si>
    <t xml:space="preserve">Abrocitinib 100mg </t>
  </si>
  <si>
    <t>NMA</t>
  </si>
  <si>
    <t xml:space="preserve">Abrocitinib 200mg </t>
  </si>
  <si>
    <t xml:space="preserve">Baricitinib 2mg </t>
  </si>
  <si>
    <t xml:space="preserve">Baricitinib 4mg </t>
  </si>
  <si>
    <t xml:space="preserve">Dupilumab 300mg (W0) + 300mg 2W </t>
  </si>
  <si>
    <t>Lebrikizumab 500mg (W0 + W2) + 250mg 2W</t>
  </si>
  <si>
    <t>Tralkinumab 600mg (W0) + 300mg 2W</t>
  </si>
  <si>
    <t xml:space="preserve">Upadacitinib 15mg </t>
  </si>
  <si>
    <t xml:space="preserve">Upadacitinib 30mg </t>
  </si>
  <si>
    <t>* All trials include TCS &amp; outcomes are measured at week 16, as referenced in SPC</t>
  </si>
  <si>
    <t xml:space="preserve">**Tralokinumab 1OP = 4 pens 
**Lebrikizumab 1OP = 2 Pens </t>
  </si>
  <si>
    <t xml:space="preserve">2. The cost of maintaining patients on treatment </t>
  </si>
  <si>
    <t>Average cost per responder per treatment per year = Cost per responder up to 1 year
cost of maintaining the population: (*population numbers)</t>
  </si>
  <si>
    <t xml:space="preserve">Acquisition Cost Per Patient  </t>
  </si>
  <si>
    <t>1st year</t>
  </si>
  <si>
    <t xml:space="preserve">5 years </t>
  </si>
  <si>
    <t xml:space="preserve">Cost </t>
  </si>
  <si>
    <t xml:space="preserve">% Usage </t>
  </si>
  <si>
    <t>Average cost</t>
  </si>
  <si>
    <t>JADE Compare</t>
  </si>
  <si>
    <t xml:space="preserve">Dupilumab 300mg 2W </t>
  </si>
  <si>
    <t>CHRONOS</t>
  </si>
  <si>
    <t>AD UP</t>
  </si>
  <si>
    <t xml:space="preserve">AD UP </t>
  </si>
  <si>
    <t>BREEZE- AD7</t>
  </si>
  <si>
    <t>BREEZE- AD8</t>
  </si>
  <si>
    <t>Tralkinumab 300mg 2W</t>
  </si>
  <si>
    <t>ECZTRA 3</t>
  </si>
  <si>
    <t>Tralkinumab 300mg 4W</t>
  </si>
  <si>
    <t>Lebrikizumab 250mg 2W</t>
  </si>
  <si>
    <t>ADhere</t>
  </si>
  <si>
    <t>Lebrikizumab 250mg 4W</t>
  </si>
  <si>
    <t xml:space="preserve">*** 1 year = 52 weeks of treatment </t>
  </si>
  <si>
    <t xml:space="preserve">3. The potential cost savings </t>
  </si>
  <si>
    <t xml:space="preserve">Total number of AD patients on Advanced Therapies </t>
  </si>
  <si>
    <t xml:space="preserve">Current </t>
  </si>
  <si>
    <t xml:space="preserve">Potential </t>
  </si>
  <si>
    <t xml:space="preserve">Usage % </t>
  </si>
  <si>
    <t>Patient No.</t>
  </si>
  <si>
    <t xml:space="preserve">Cost up to 1 year </t>
  </si>
  <si>
    <t xml:space="preserve">Cost up to 5 years </t>
  </si>
  <si>
    <t xml:space="preserve">Abrocitinib 100mg or 200mg </t>
  </si>
  <si>
    <t>Dupilumab 300mg 2W</t>
  </si>
  <si>
    <t xml:space="preserve">Upadacitinib 15mg or 30mg </t>
  </si>
  <si>
    <t xml:space="preserve">Baricitinib 4mg or 2mg </t>
  </si>
  <si>
    <t>Tralkinumab 300mg 2W or 4W</t>
  </si>
  <si>
    <t>Lebrikizumab 250mg 2W or 4W</t>
  </si>
  <si>
    <t xml:space="preserve">Potential Cost Savings </t>
  </si>
  <si>
    <t xml:space="preserve">1. Cost / Outcome (at 16 weeks) </t>
  </si>
  <si>
    <t xml:space="preserve">Choose outcome reference </t>
  </si>
  <si>
    <t>SPC/NMA</t>
  </si>
  <si>
    <t xml:space="preserve">Cost / Outcome </t>
  </si>
  <si>
    <t>% Achievement from NMA*</t>
  </si>
  <si>
    <t xml:space="preserve">Cost to 16W </t>
  </si>
  <si>
    <t>PP NRS 4</t>
  </si>
  <si>
    <t xml:space="preserve">PP NRS 4 </t>
  </si>
  <si>
    <t>* All trials are monotherapy &amp; outcomes are measured at week 12-16 - https://link.springer.com/article/10.1007/s13555-023-01000-3</t>
  </si>
  <si>
    <r>
      <t>Cost per Responder is modelled over a 1 year timeframe</t>
    </r>
    <r>
      <rPr>
        <b/>
        <sz val="11"/>
        <color rgb="FF000000"/>
        <rFont val="Aptos Narrow"/>
        <scheme val="minor"/>
      </rPr>
      <t xml:space="preserve">
Cost per Responder = [Cost of treatment for 1 year] * (1/Probability of response - NMA)
</t>
    </r>
    <r>
      <rPr>
        <sz val="11"/>
        <color rgb="FF000000"/>
        <rFont val="Aptos Narrow"/>
        <scheme val="minor"/>
      </rPr>
      <t xml:space="preserve">“The cost per responder is calculated by taking the total cost of treatment up to 1 year and multiplying it by the probability of achieving the response to an outcome* for one patient, which is represented by the inverse of the probability of response (expressed as a percentage).” 
Assuming response rate at 16W is maintained to 1year
 *The following outcomes are assessed within the ‘cost of achieving the response’: EASI 50, EASI75, EASI90, IGA-0/1 </t>
    </r>
  </si>
  <si>
    <t>Cost / Responder (1 year)</t>
  </si>
  <si>
    <t>Lebrikizumab 500mg (W0 + W2) + 250mg 2W (W16) + 250mg 4W</t>
  </si>
  <si>
    <t>Lebrikizumab 500mg (W0 + W2) + 250mg 2W (W24) + 250mg 4W</t>
  </si>
  <si>
    <t>Tralkinumab 600mg (W0) + 300mg 2W (W16) + 300mg 4W</t>
  </si>
  <si>
    <t xml:space="preserve">Tralkinumab 600mg (W0) + 300mg 2W </t>
  </si>
  <si>
    <t xml:space="preserve">METHODOLOGY:
All outcomes are modeled over 1 year timeframe </t>
  </si>
  <si>
    <r>
      <rPr>
        <sz val="11"/>
        <color rgb="FF000000"/>
        <rFont val="Aptos Narrow"/>
        <scheme val="minor"/>
      </rPr>
      <t>All outputs are modelled over a 1 year timeframe 
Average Acquisition Cost</t>
    </r>
    <r>
      <rPr>
        <b/>
        <sz val="11"/>
        <color rgb="FF000000"/>
        <rFont val="Aptos Narrow"/>
        <scheme val="minor"/>
      </rPr>
      <t xml:space="preserve"> per Patient per treatment </t>
    </r>
    <r>
      <rPr>
        <sz val="11"/>
        <color rgb="FF000000"/>
        <rFont val="Aptos Narrow"/>
        <scheme val="minor"/>
      </rPr>
      <t xml:space="preserve">= Acquisition cost of Treatment based on recommended dosing frequency (SPC) * Usage 
</t>
    </r>
    <r>
      <rPr>
        <b/>
        <sz val="11"/>
        <color rgb="FF000000"/>
        <rFont val="Aptos Narrow"/>
        <scheme val="minor"/>
      </rPr>
      <t xml:space="preserve">
</t>
    </r>
    <r>
      <rPr>
        <sz val="11"/>
        <color rgb="FF000000"/>
        <rFont val="Aptos Narrow"/>
        <scheme val="minor"/>
      </rPr>
      <t xml:space="preserve"> Average Acquisition Cost </t>
    </r>
    <r>
      <rPr>
        <b/>
        <sz val="11"/>
        <color rgb="FF000000"/>
        <rFont val="Aptos Narrow"/>
        <scheme val="minor"/>
      </rPr>
      <t xml:space="preserve">per Responder per treatment </t>
    </r>
    <r>
      <rPr>
        <sz val="11"/>
        <color rgb="FF000000"/>
        <rFont val="Aptos Narrow"/>
        <scheme val="minor"/>
      </rPr>
      <t>=</t>
    </r>
    <r>
      <rPr>
        <b/>
        <sz val="11"/>
        <color rgb="FF000000"/>
        <rFont val="Aptos Narrow"/>
        <scheme val="minor"/>
      </rPr>
      <t xml:space="preserve"> </t>
    </r>
    <r>
      <rPr>
        <sz val="11"/>
        <color rgb="FF000000"/>
        <rFont val="Aptos Narrow"/>
        <scheme val="minor"/>
      </rPr>
      <t>Cost per responder for each treatment dose * Usage</t>
    </r>
    <r>
      <rPr>
        <b/>
        <sz val="11"/>
        <color rgb="FF000000"/>
        <rFont val="Aptos Narrow"/>
        <scheme val="minor"/>
      </rPr>
      <t xml:space="preserve"> 
</t>
    </r>
    <r>
      <rPr>
        <sz val="11"/>
        <color rgb="FF000000"/>
        <rFont val="Aptos Narrow"/>
        <scheme val="minor"/>
      </rPr>
      <t xml:space="preserve"> Average Acquisition Cost </t>
    </r>
    <r>
      <rPr>
        <b/>
        <sz val="11"/>
        <color rgb="FF000000"/>
        <rFont val="Aptos Narrow"/>
        <scheme val="minor"/>
      </rPr>
      <t xml:space="preserve">per Responding Population </t>
    </r>
    <r>
      <rPr>
        <sz val="11"/>
        <color rgb="FF000000"/>
        <rFont val="Aptos Narrow"/>
        <scheme val="minor"/>
      </rPr>
      <t xml:space="preserve">= Average Acquisition Cost per Responder * Population 
</t>
    </r>
    <r>
      <rPr>
        <b/>
        <sz val="11"/>
        <color rgb="FF000000"/>
        <rFont val="Aptos Narrow"/>
        <scheme val="minor"/>
      </rPr>
      <t xml:space="preserve">
 </t>
    </r>
  </si>
  <si>
    <t>Average Acquisition Cost  (1 year)</t>
  </si>
  <si>
    <t xml:space="preserve">Per Patient  </t>
  </si>
  <si>
    <t xml:space="preserve">Per Responder </t>
  </si>
  <si>
    <t>Per Responding Population</t>
  </si>
  <si>
    <t>Acquisition Cost per Population</t>
  </si>
  <si>
    <t>Acquisition Cost per Responding Population</t>
  </si>
  <si>
    <t>Potential</t>
  </si>
  <si>
    <t>Week</t>
  </si>
  <si>
    <t xml:space="preserve">Tralo 4W </t>
  </si>
  <si>
    <t xml:space="preserve">Tralo 2W </t>
  </si>
  <si>
    <t>Dupilumab</t>
  </si>
  <si>
    <t>Lebrikizumab 2W (W16) + 4W</t>
  </si>
  <si>
    <t>Lebrikizumab 2W (W24) + 4W</t>
  </si>
  <si>
    <t xml:space="preserve">JAKi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</si>
</sst>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0.0%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2" fillId="0" borderId="0" xfId="0" applyFont="1"/>
    <xf numFmtId="0" fontId="1" fillId="6" borderId="4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0" fillId="10" borderId="4" xfId="0" applyFill="1" applyBorder="1"/>
    <xf numFmtId="164" fontId="0" fillId="11" borderId="4" xfId="0" applyNumberFormat="1" applyFill="1" applyBorder="1" applyAlignment="1">
      <alignment horizontal="center"/>
    </xf>
    <xf numFmtId="164" fontId="0" fillId="12" borderId="4" xfId="0" applyNumberForma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3" fillId="13" borderId="4" xfId="0" applyFont="1" applyFill="1" applyBorder="1" applyAlignment="1">
      <alignment horizontal="center"/>
    </xf>
    <xf numFmtId="0" fontId="0" fillId="10" borderId="7" xfId="0" applyFill="1" applyBorder="1"/>
    <xf numFmtId="164" fontId="0" fillId="11" borderId="7" xfId="0" applyNumberFormat="1" applyFill="1" applyBorder="1" applyAlignment="1">
      <alignment horizontal="center"/>
    </xf>
    <xf numFmtId="0" fontId="0" fillId="0" borderId="8" xfId="0" applyBorder="1"/>
    <xf numFmtId="0" fontId="3" fillId="0" borderId="0" xfId="0" applyFont="1"/>
    <xf numFmtId="0" fontId="1" fillId="7" borderId="4" xfId="0" applyFont="1" applyFill="1" applyBorder="1" applyAlignment="1">
      <alignment horizontal="center"/>
    </xf>
    <xf numFmtId="9" fontId="0" fillId="11" borderId="4" xfId="0" applyNumberFormat="1" applyFill="1" applyBorder="1" applyAlignment="1">
      <alignment horizontal="center"/>
    </xf>
    <xf numFmtId="0" fontId="0" fillId="0" borderId="4" xfId="0" applyBorder="1"/>
    <xf numFmtId="164" fontId="0" fillId="0" borderId="4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7" xfId="0" applyBorder="1"/>
    <xf numFmtId="0" fontId="0" fillId="15" borderId="4" xfId="0" applyFill="1" applyBorder="1"/>
    <xf numFmtId="0" fontId="2" fillId="0" borderId="0" xfId="0" applyFont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5" fontId="0" fillId="14" borderId="4" xfId="0" applyNumberFormat="1" applyFill="1" applyBorder="1"/>
    <xf numFmtId="0" fontId="0" fillId="14" borderId="4" xfId="0" applyFill="1" applyBorder="1"/>
    <xf numFmtId="165" fontId="0" fillId="15" borderId="4" xfId="0" applyNumberFormat="1" applyFill="1" applyBorder="1"/>
    <xf numFmtId="165" fontId="1" fillId="0" borderId="0" xfId="0" applyNumberFormat="1" applyFont="1"/>
    <xf numFmtId="164" fontId="0" fillId="14" borderId="4" xfId="0" applyNumberFormat="1" applyFill="1" applyBorder="1"/>
    <xf numFmtId="164" fontId="0" fillId="0" borderId="0" xfId="0" applyNumberFormat="1"/>
    <xf numFmtId="164" fontId="0" fillId="15" borderId="4" xfId="0" applyNumberFormat="1" applyFill="1" applyBorder="1"/>
    <xf numFmtId="164" fontId="3" fillId="0" borderId="0" xfId="0" applyNumberFormat="1" applyFont="1"/>
    <xf numFmtId="0" fontId="2" fillId="3" borderId="2" xfId="0" applyFont="1" applyFill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0" fillId="0" borderId="0" xfId="0" applyAlignment="1">
      <alignment wrapText="1"/>
    </xf>
    <xf numFmtId="0" fontId="1" fillId="14" borderId="6" xfId="0" applyFont="1" applyFill="1" applyBorder="1" applyAlignment="1">
      <alignment horizontal="center"/>
    </xf>
    <xf numFmtId="164" fontId="1" fillId="0" borderId="0" xfId="0" applyNumberFormat="1" applyFont="1"/>
    <xf numFmtId="0" fontId="1" fillId="15" borderId="6" xfId="0" applyFont="1" applyFill="1" applyBorder="1" applyAlignment="1">
      <alignment horizontal="center"/>
    </xf>
    <xf numFmtId="164" fontId="0" fillId="3" borderId="0" xfId="0" applyNumberFormat="1" applyFill="1"/>
    <xf numFmtId="0" fontId="1" fillId="8" borderId="6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0" fillId="11" borderId="9" xfId="0" applyFill="1" applyBorder="1"/>
    <xf numFmtId="0" fontId="0" fillId="10" borderId="2" xfId="0" applyFill="1" applyBorder="1"/>
    <xf numFmtId="164" fontId="0" fillId="11" borderId="5" xfId="0" applyNumberFormat="1" applyFill="1" applyBorder="1" applyAlignment="1">
      <alignment horizontal="center"/>
    </xf>
    <xf numFmtId="164" fontId="0" fillId="11" borderId="10" xfId="0" applyNumberForma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1" fillId="10" borderId="2" xfId="0" applyFont="1" applyFill="1" applyBorder="1" applyAlignment="1">
      <alignment horizontal="center"/>
    </xf>
    <xf numFmtId="0" fontId="0" fillId="10" borderId="14" xfId="0" applyFill="1" applyBorder="1"/>
    <xf numFmtId="0" fontId="1" fillId="0" borderId="4" xfId="0" applyFont="1" applyBorder="1" applyAlignment="1">
      <alignment horizontal="center"/>
    </xf>
    <xf numFmtId="0" fontId="1" fillId="14" borderId="4" xfId="0" applyFont="1" applyFill="1" applyBorder="1" applyAlignment="1">
      <alignment horizontal="center"/>
    </xf>
    <xf numFmtId="164" fontId="0" fillId="0" borderId="4" xfId="0" applyNumberFormat="1" applyBorder="1"/>
    <xf numFmtId="0" fontId="1" fillId="19" borderId="6" xfId="0" applyFont="1" applyFill="1" applyBorder="1" applyAlignment="1">
      <alignment horizontal="center"/>
    </xf>
    <xf numFmtId="164" fontId="0" fillId="19" borderId="5" xfId="0" applyNumberFormat="1" applyFill="1" applyBorder="1" applyAlignment="1">
      <alignment horizontal="center"/>
    </xf>
    <xf numFmtId="164" fontId="0" fillId="19" borderId="10" xfId="0" applyNumberFormat="1" applyFill="1" applyBorder="1" applyAlignment="1">
      <alignment horizontal="center"/>
    </xf>
    <xf numFmtId="0" fontId="4" fillId="3" borderId="2" xfId="0" applyFont="1" applyFill="1" applyBorder="1"/>
    <xf numFmtId="0" fontId="4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/>
    </xf>
    <xf numFmtId="164" fontId="0" fillId="19" borderId="4" xfId="0" applyNumberFormat="1" applyFill="1" applyBorder="1" applyAlignment="1">
      <alignment horizontal="center"/>
    </xf>
    <xf numFmtId="0" fontId="9" fillId="15" borderId="0" xfId="0" applyFont="1" applyFill="1" applyAlignment="1">
      <alignment horizontal="center" vertical="top" wrapText="1"/>
    </xf>
    <xf numFmtId="0" fontId="1" fillId="15" borderId="0" xfId="0" applyFont="1" applyFill="1" applyAlignment="1">
      <alignment horizontal="center" vertical="top"/>
    </xf>
    <xf numFmtId="0" fontId="2" fillId="17" borderId="0" xfId="0" applyFont="1" applyFill="1" applyAlignment="1">
      <alignment horizontal="center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/>
    </xf>
    <xf numFmtId="164" fontId="0" fillId="11" borderId="7" xfId="0" applyNumberFormat="1" applyFill="1" applyBorder="1" applyAlignment="1">
      <alignment horizontal="center" vertical="center"/>
    </xf>
    <xf numFmtId="164" fontId="0" fillId="11" borderId="6" xfId="0" applyNumberForma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2" fillId="16" borderId="2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2" fillId="16" borderId="5" xfId="0" applyFont="1" applyFill="1" applyBorder="1" applyAlignment="1">
      <alignment horizontal="center"/>
    </xf>
    <xf numFmtId="0" fontId="2" fillId="15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8" fillId="15" borderId="0" xfId="0" applyFont="1" applyFill="1" applyAlignment="1">
      <alignment horizontal="center" vertical="top" wrapText="1"/>
    </xf>
    <xf numFmtId="0" fontId="2" fillId="16" borderId="4" xfId="0" applyFont="1" applyFill="1" applyBorder="1" applyAlignment="1">
      <alignment horizontal="center"/>
    </xf>
    <xf numFmtId="0" fontId="4" fillId="18" borderId="1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6" fillId="15" borderId="0" xfId="0" applyFont="1" applyFill="1" applyAlignment="1">
      <alignment horizontal="center" vertical="top" wrapText="1"/>
    </xf>
    <xf numFmtId="0" fontId="2" fillId="3" borderId="15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1" fillId="15" borderId="0" xfId="0" applyFont="1" applyFill="1" applyAlignment="1">
      <alignment horizontal="center" vertical="top" wrapText="1"/>
    </xf>
    <xf numFmtId="0" fontId="5" fillId="15" borderId="0" xfId="0" applyFont="1" applyFill="1" applyAlignment="1">
      <alignment horizontal="center" vertical="top" wrapText="1"/>
    </xf>
    <xf numFmtId="0" fontId="2" fillId="2" borderId="2" xfId="0" applyFont="1" applyFill="1" applyBorder="1" applyAlignment="1">
      <alignment horizontal="center"/>
    </xf>
    <xf numFmtId="0" fontId="4" fillId="18" borderId="12" xfId="0" applyFont="1" applyFill="1" applyBorder="1" applyAlignment="1">
      <alignment horizontal="center"/>
    </xf>
    <xf numFmtId="0" fontId="1" fillId="15" borderId="4" xfId="0" applyFont="1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2" fillId="14" borderId="4" xfId="0" applyFont="1" applyFill="1" applyBorder="1" applyAlignment="1">
      <alignment horizontal="center"/>
    </xf>
    <xf numFmtId="164" fontId="0" fillId="19" borderId="7" xfId="0" applyNumberFormat="1" applyFill="1" applyBorder="1" applyAlignment="1">
      <alignment horizontal="center" vertical="center"/>
    </xf>
    <xf numFmtId="164" fontId="0" fillId="19" borderId="6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A3959-DC19-4F53-82F9-EC63A22F1E6D}">
  <dimension ref="A1:Q117"/>
  <sheetViews>
    <sheetView zoomScale="90" zoomScaleNormal="90" workbookViewId="0">
      <selection activeCell="E27" sqref="E27"/>
    </sheetView>
  </sheetViews>
  <sheetFormatPr baseColWidth="10" defaultColWidth="8.83203125" defaultRowHeight="15" x14ac:dyDescent="0.2"/>
  <cols>
    <col min="1" max="1" width="41.6640625" customWidth="1"/>
    <col min="2" max="2" width="18" customWidth="1"/>
    <col min="3" max="3" width="17.33203125" customWidth="1"/>
    <col min="4" max="5" width="16" customWidth="1"/>
    <col min="6" max="7" width="15.33203125" customWidth="1"/>
    <col min="8" max="8" width="14.5" customWidth="1"/>
    <col min="9" max="9" width="14.83203125" customWidth="1"/>
    <col min="10" max="10" width="15.33203125" customWidth="1"/>
    <col min="11" max="11" width="15" customWidth="1"/>
    <col min="12" max="12" width="13.5" customWidth="1"/>
    <col min="13" max="13" width="14.33203125" customWidth="1"/>
    <col min="14" max="14" width="11.6640625" customWidth="1"/>
    <col min="15" max="15" width="12.5" customWidth="1"/>
    <col min="16" max="17" width="11.5" customWidth="1"/>
    <col min="18" max="18" width="10.33203125" customWidth="1"/>
    <col min="19" max="19" width="11.5" customWidth="1"/>
    <col min="20" max="20" width="12.33203125" customWidth="1"/>
    <col min="21" max="21" width="3.5" customWidth="1"/>
    <col min="22" max="22" width="0" hidden="1" customWidth="1"/>
  </cols>
  <sheetData>
    <row r="1" spans="1:15" ht="17.25" customHeight="1" x14ac:dyDescent="0.2">
      <c r="A1" s="67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5" x14ac:dyDescent="0.2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</row>
    <row r="3" spans="1:15" x14ac:dyDescent="0.2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</row>
    <row r="4" spans="1:15" x14ac:dyDescent="0.2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</row>
    <row r="5" spans="1:15" x14ac:dyDescent="0.2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</row>
    <row r="6" spans="1:15" x14ac:dyDescent="0.2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</row>
    <row r="7" spans="1:15" x14ac:dyDescent="0.2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</row>
    <row r="8" spans="1:15" x14ac:dyDescent="0.2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</row>
    <row r="9" spans="1:15" x14ac:dyDescent="0.2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</row>
    <row r="10" spans="1:15" ht="9.75" customHeight="1" x14ac:dyDescent="0.2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</row>
    <row r="11" spans="1:15" ht="9.75" customHeight="1" x14ac:dyDescent="0.2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</row>
    <row r="12" spans="1:15" x14ac:dyDescent="0.2">
      <c r="A12" s="73" t="s">
        <v>1</v>
      </c>
      <c r="B12" s="73"/>
      <c r="C12" s="73"/>
      <c r="D12" s="65" t="s">
        <v>2</v>
      </c>
      <c r="E12" s="65"/>
      <c r="F12" s="65"/>
      <c r="G12" s="65"/>
      <c r="H12" s="65"/>
      <c r="I12" s="65"/>
      <c r="J12" s="65"/>
      <c r="K12" s="65"/>
      <c r="L12" s="65"/>
      <c r="M12" s="65"/>
      <c r="N12" s="1"/>
      <c r="O12" s="1"/>
    </row>
    <row r="13" spans="1:15" ht="95.25" customHeight="1" x14ac:dyDescent="0.2">
      <c r="A13" s="35"/>
      <c r="B13" s="35"/>
      <c r="D13" s="64" t="s">
        <v>3</v>
      </c>
      <c r="E13" s="64"/>
      <c r="F13" s="64"/>
      <c r="G13" s="64"/>
      <c r="H13" s="64"/>
      <c r="I13" s="64"/>
      <c r="J13" s="64"/>
      <c r="K13" s="64"/>
      <c r="L13" s="64"/>
      <c r="M13" s="64"/>
      <c r="N13" s="1"/>
      <c r="O13" s="1"/>
    </row>
    <row r="14" spans="1:15" x14ac:dyDescent="0.2">
      <c r="A14" s="35" t="s">
        <v>4</v>
      </c>
      <c r="B14" s="35" t="s">
        <v>5</v>
      </c>
      <c r="C14" s="35"/>
      <c r="D14" s="35"/>
      <c r="E14" s="35"/>
      <c r="F14" s="35"/>
      <c r="G14" s="35"/>
      <c r="H14" s="36"/>
      <c r="I14" s="36"/>
      <c r="J14" s="1"/>
      <c r="K14" s="1"/>
      <c r="L14" s="1"/>
      <c r="M14" s="1"/>
      <c r="N14" s="1"/>
      <c r="O14" s="1"/>
    </row>
    <row r="15" spans="1:15" x14ac:dyDescent="0.2">
      <c r="A15" s="35"/>
      <c r="B15" s="35"/>
      <c r="C15" s="35"/>
      <c r="D15" s="35"/>
      <c r="E15" s="35"/>
      <c r="F15" s="35"/>
      <c r="G15" s="35"/>
      <c r="H15" s="35"/>
      <c r="I15" s="36"/>
      <c r="J15" s="1"/>
      <c r="K15" s="1"/>
      <c r="L15" s="1"/>
      <c r="M15" s="1"/>
      <c r="N15" s="1"/>
      <c r="O15" s="1"/>
    </row>
    <row r="16" spans="1:15" ht="16" x14ac:dyDescent="0.2">
      <c r="A16" s="83" t="s">
        <v>6</v>
      </c>
      <c r="B16" s="83"/>
      <c r="C16" s="90" t="s">
        <v>7</v>
      </c>
      <c r="D16" s="90"/>
      <c r="E16" s="87" t="s">
        <v>8</v>
      </c>
      <c r="F16" s="88"/>
      <c r="G16" s="88"/>
      <c r="H16" s="89"/>
      <c r="I16" s="2"/>
      <c r="J16" s="78" t="s">
        <v>9</v>
      </c>
      <c r="K16" s="78"/>
      <c r="L16" s="78"/>
      <c r="M16" s="78"/>
    </row>
    <row r="17" spans="1:16" x14ac:dyDescent="0.2">
      <c r="A17" s="3" t="s">
        <v>10</v>
      </c>
      <c r="B17" s="3" t="s">
        <v>11</v>
      </c>
      <c r="C17" s="48" t="s">
        <v>12</v>
      </c>
      <c r="D17" s="4" t="s">
        <v>13</v>
      </c>
      <c r="E17" s="42" t="s">
        <v>14</v>
      </c>
      <c r="F17" s="5" t="s">
        <v>15</v>
      </c>
      <c r="G17" s="5" t="s">
        <v>16</v>
      </c>
      <c r="H17" s="5" t="s">
        <v>17</v>
      </c>
      <c r="I17" s="1"/>
      <c r="J17" s="6" t="s">
        <v>14</v>
      </c>
      <c r="K17" s="6" t="s">
        <v>15</v>
      </c>
      <c r="L17" s="6" t="s">
        <v>16</v>
      </c>
      <c r="M17" s="6" t="s">
        <v>17</v>
      </c>
    </row>
    <row r="18" spans="1:16" x14ac:dyDescent="0.2">
      <c r="A18" s="7" t="s">
        <v>18</v>
      </c>
      <c r="B18" s="45" t="s">
        <v>19</v>
      </c>
      <c r="C18" s="44">
        <v>268</v>
      </c>
      <c r="D18" s="46">
        <f>C18*12</f>
        <v>3216</v>
      </c>
      <c r="E18" s="9">
        <f>IFERROR(D18/J18*100,"N/A")</f>
        <v>4231.5789473684208</v>
      </c>
      <c r="F18" s="9">
        <f t="shared" ref="F18:F26" si="0">IFERROR(D18/K18*100,"N/A")</f>
        <v>5847.2727272727279</v>
      </c>
      <c r="G18" s="9">
        <f>IFERROR(D18/L18*100,"N/A")</f>
        <v>10050</v>
      </c>
      <c r="H18" s="9">
        <f t="shared" ref="H18:H26" si="1">IFERROR(D18/M18*100,"N/A")</f>
        <v>10374.193548387097</v>
      </c>
      <c r="J18" s="10">
        <v>76</v>
      </c>
      <c r="K18" s="10">
        <v>55</v>
      </c>
      <c r="L18" s="10">
        <v>32</v>
      </c>
      <c r="M18" s="10">
        <v>31</v>
      </c>
      <c r="O18" s="44">
        <v>268</v>
      </c>
      <c r="P18" s="46">
        <v>896.76</v>
      </c>
    </row>
    <row r="19" spans="1:16" x14ac:dyDescent="0.2">
      <c r="A19" s="7" t="s">
        <v>20</v>
      </c>
      <c r="B19" s="45" t="s">
        <v>19</v>
      </c>
      <c r="C19" s="44">
        <v>268</v>
      </c>
      <c r="D19" s="46">
        <f>C19*12</f>
        <v>3216</v>
      </c>
      <c r="E19" s="9">
        <f t="shared" ref="E19:E25" si="2">IFERROR(D19/J19*100,"N/A")</f>
        <v>3739.5348837209303</v>
      </c>
      <c r="F19" s="9">
        <f t="shared" si="0"/>
        <v>4529.577464788732</v>
      </c>
      <c r="G19" s="9">
        <f t="shared" ref="G19:G26" si="3">IFERROR(D19/L19*100,"N/A")</f>
        <v>6563.2653061224491</v>
      </c>
      <c r="H19" s="9">
        <f t="shared" si="1"/>
        <v>6700</v>
      </c>
      <c r="J19" s="10">
        <v>86</v>
      </c>
      <c r="K19" s="10">
        <v>71</v>
      </c>
      <c r="L19" s="10">
        <v>49</v>
      </c>
      <c r="M19" s="10">
        <v>48</v>
      </c>
      <c r="O19" s="44">
        <v>268</v>
      </c>
      <c r="P19" s="46">
        <v>893.76</v>
      </c>
    </row>
    <row r="20" spans="1:16" x14ac:dyDescent="0.2">
      <c r="A20" s="7" t="s">
        <v>21</v>
      </c>
      <c r="B20" s="45" t="s">
        <v>19</v>
      </c>
      <c r="C20" s="44">
        <v>400</v>
      </c>
      <c r="D20" s="46">
        <f>C20*12</f>
        <v>4800</v>
      </c>
      <c r="E20" s="9">
        <f t="shared" si="2"/>
        <v>7384.6153846153838</v>
      </c>
      <c r="F20" s="9">
        <f t="shared" si="0"/>
        <v>11428.571428571429</v>
      </c>
      <c r="G20" s="9">
        <f t="shared" si="3"/>
        <v>30000</v>
      </c>
      <c r="H20" s="9">
        <f t="shared" si="1"/>
        <v>22857.142857142859</v>
      </c>
      <c r="J20" s="10">
        <v>65</v>
      </c>
      <c r="K20" s="10">
        <v>42</v>
      </c>
      <c r="L20" s="10">
        <v>16</v>
      </c>
      <c r="M20" s="10">
        <v>21</v>
      </c>
      <c r="O20" s="44">
        <v>400</v>
      </c>
      <c r="P20" s="46">
        <v>805.56</v>
      </c>
    </row>
    <row r="21" spans="1:16" x14ac:dyDescent="0.2">
      <c r="A21" s="7" t="s">
        <v>22</v>
      </c>
      <c r="B21" s="45" t="s">
        <v>19</v>
      </c>
      <c r="C21" s="44">
        <v>400</v>
      </c>
      <c r="D21" s="46">
        <f>C21*12</f>
        <v>4800</v>
      </c>
      <c r="E21" s="9">
        <f t="shared" si="2"/>
        <v>7384.6153846153838</v>
      </c>
      <c r="F21" s="9">
        <f t="shared" si="0"/>
        <v>11428.571428571429</v>
      </c>
      <c r="G21" s="9">
        <f t="shared" si="3"/>
        <v>21818.18181818182</v>
      </c>
      <c r="H21" s="9">
        <f t="shared" si="1"/>
        <v>17777.777777777777</v>
      </c>
      <c r="J21" s="10">
        <v>65</v>
      </c>
      <c r="K21" s="10">
        <v>42</v>
      </c>
      <c r="L21" s="10">
        <v>22</v>
      </c>
      <c r="M21" s="10">
        <v>27</v>
      </c>
      <c r="O21" s="44">
        <v>400</v>
      </c>
      <c r="P21" s="46">
        <v>805.56</v>
      </c>
    </row>
    <row r="22" spans="1:16" x14ac:dyDescent="0.2">
      <c r="A22" s="7" t="s">
        <v>23</v>
      </c>
      <c r="B22" s="45" t="s">
        <v>19</v>
      </c>
      <c r="C22" s="44">
        <v>550</v>
      </c>
      <c r="D22" s="46">
        <f>C22*12.5</f>
        <v>6875</v>
      </c>
      <c r="E22" s="9">
        <f t="shared" si="2"/>
        <v>8702.5316455696193</v>
      </c>
      <c r="F22" s="9">
        <f t="shared" si="0"/>
        <v>11652.542372881357</v>
      </c>
      <c r="G22" s="9">
        <f t="shared" si="3"/>
        <v>19097.222222222223</v>
      </c>
      <c r="H22" s="9">
        <f t="shared" si="1"/>
        <v>19642.857142857141</v>
      </c>
      <c r="J22" s="10">
        <v>79</v>
      </c>
      <c r="K22" s="10">
        <v>59</v>
      </c>
      <c r="L22" s="10">
        <v>36</v>
      </c>
      <c r="M22" s="10">
        <v>35</v>
      </c>
      <c r="O22" s="44">
        <v>550</v>
      </c>
      <c r="P22" s="46">
        <v>1264.8900000000001</v>
      </c>
    </row>
    <row r="23" spans="1:16" x14ac:dyDescent="0.2">
      <c r="A23" s="7" t="s">
        <v>24</v>
      </c>
      <c r="B23" s="45" t="s">
        <v>19</v>
      </c>
      <c r="C23" s="44">
        <v>500</v>
      </c>
      <c r="D23" s="46">
        <f>C23*13</f>
        <v>6500</v>
      </c>
      <c r="E23" s="9">
        <f t="shared" si="2"/>
        <v>9027.7777777777774</v>
      </c>
      <c r="F23" s="9">
        <f t="shared" si="0"/>
        <v>11818.181818181818</v>
      </c>
      <c r="G23" s="9">
        <f t="shared" si="3"/>
        <v>23214.285714285714</v>
      </c>
      <c r="H23" s="9">
        <f t="shared" si="1"/>
        <v>20967.741935483871</v>
      </c>
      <c r="J23" s="10">
        <v>72</v>
      </c>
      <c r="K23" s="10">
        <v>55</v>
      </c>
      <c r="L23" s="10">
        <v>28</v>
      </c>
      <c r="M23" s="10">
        <v>31</v>
      </c>
      <c r="O23" s="44">
        <v>500</v>
      </c>
      <c r="P23" s="46">
        <v>2271.2600000000002</v>
      </c>
    </row>
    <row r="24" spans="1:16" x14ac:dyDescent="0.2">
      <c r="A24" s="7" t="s">
        <v>25</v>
      </c>
      <c r="B24" s="45" t="s">
        <v>19</v>
      </c>
      <c r="C24" s="44">
        <v>600</v>
      </c>
      <c r="D24" s="46">
        <f>C24*12.5</f>
        <v>7500</v>
      </c>
      <c r="E24" s="9">
        <f t="shared" si="2"/>
        <v>11538.461538461539</v>
      </c>
      <c r="F24" s="9">
        <f t="shared" si="0"/>
        <v>22727.272727272728</v>
      </c>
      <c r="G24" s="9">
        <f t="shared" si="3"/>
        <v>46875</v>
      </c>
      <c r="H24" s="9">
        <f t="shared" si="1"/>
        <v>50000</v>
      </c>
      <c r="J24" s="10">
        <v>65</v>
      </c>
      <c r="K24" s="10">
        <v>33</v>
      </c>
      <c r="L24" s="10">
        <v>16</v>
      </c>
      <c r="M24" s="10">
        <v>15</v>
      </c>
      <c r="O24" s="44">
        <v>600</v>
      </c>
      <c r="P24" s="46">
        <v>1070</v>
      </c>
    </row>
    <row r="25" spans="1:16" x14ac:dyDescent="0.2">
      <c r="A25" s="7" t="s">
        <v>26</v>
      </c>
      <c r="B25" s="45" t="s">
        <v>19</v>
      </c>
      <c r="C25" s="44">
        <v>340</v>
      </c>
      <c r="D25" s="46">
        <f>C25*12</f>
        <v>4080</v>
      </c>
      <c r="E25" s="9">
        <f t="shared" si="2"/>
        <v>4689.6551724137926</v>
      </c>
      <c r="F25" s="9">
        <f t="shared" si="0"/>
        <v>6181.818181818182</v>
      </c>
      <c r="G25" s="9">
        <f t="shared" si="3"/>
        <v>9488.3720930232557</v>
      </c>
      <c r="H25" s="9">
        <f t="shared" si="1"/>
        <v>8500</v>
      </c>
      <c r="J25" s="10">
        <v>87</v>
      </c>
      <c r="K25" s="10">
        <v>66</v>
      </c>
      <c r="L25" s="10">
        <v>43</v>
      </c>
      <c r="M25" s="10">
        <v>48</v>
      </c>
      <c r="O25" s="44">
        <v>340</v>
      </c>
      <c r="P25" s="46">
        <v>805.56</v>
      </c>
    </row>
    <row r="26" spans="1:16" x14ac:dyDescent="0.2">
      <c r="A26" s="12" t="s">
        <v>27</v>
      </c>
      <c r="B26" s="45" t="s">
        <v>19</v>
      </c>
      <c r="C26" s="44">
        <v>550</v>
      </c>
      <c r="D26" s="47">
        <f>C26*12</f>
        <v>6600</v>
      </c>
      <c r="E26" s="9">
        <f>IFERROR(D26/J26*100,"N/A")</f>
        <v>7252.7472527472528</v>
      </c>
      <c r="F26" s="9">
        <f t="shared" si="0"/>
        <v>8684.2105263157882</v>
      </c>
      <c r="G26" s="9">
        <f t="shared" si="3"/>
        <v>11186.4406779661</v>
      </c>
      <c r="H26" s="9">
        <f t="shared" si="1"/>
        <v>10645.161290322581</v>
      </c>
      <c r="J26" s="10">
        <v>91</v>
      </c>
      <c r="K26" s="10">
        <v>76</v>
      </c>
      <c r="L26" s="10">
        <v>59</v>
      </c>
      <c r="M26" s="10">
        <v>62</v>
      </c>
      <c r="O26" s="44">
        <v>550</v>
      </c>
      <c r="P26" s="47">
        <v>1281.54</v>
      </c>
    </row>
    <row r="27" spans="1:16" x14ac:dyDescent="0.2">
      <c r="A27" s="14"/>
      <c r="B27" s="14"/>
      <c r="D27" s="14"/>
      <c r="E27" s="14"/>
      <c r="F27" s="14"/>
    </row>
    <row r="29" spans="1:16" x14ac:dyDescent="0.2">
      <c r="A29" t="s">
        <v>28</v>
      </c>
    </row>
    <row r="30" spans="1:16" ht="32" x14ac:dyDescent="0.2">
      <c r="A30" s="37" t="s">
        <v>29</v>
      </c>
    </row>
    <row r="34" spans="1:17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7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7" x14ac:dyDescent="0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7" x14ac:dyDescent="0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7" x14ac:dyDescent="0.2">
      <c r="A38" s="15"/>
      <c r="B38" s="15"/>
      <c r="C38" s="15"/>
      <c r="D38" s="15"/>
      <c r="E38" s="15"/>
      <c r="F38" s="15"/>
      <c r="G38" s="15"/>
      <c r="H38" s="65" t="s">
        <v>2</v>
      </c>
      <c r="I38" s="65"/>
      <c r="J38" s="65"/>
      <c r="K38" s="65"/>
      <c r="L38" s="65"/>
      <c r="M38" s="65"/>
      <c r="N38" s="65"/>
      <c r="O38" s="65"/>
      <c r="P38" s="65"/>
      <c r="Q38" s="65"/>
    </row>
    <row r="39" spans="1:17" ht="48.75" customHeight="1" x14ac:dyDescent="0.2">
      <c r="A39" s="69" t="s">
        <v>30</v>
      </c>
      <c r="B39" s="69"/>
      <c r="C39" s="69"/>
      <c r="D39" s="69"/>
      <c r="E39" s="69"/>
      <c r="F39" s="69"/>
      <c r="G39" s="69"/>
      <c r="H39" s="91" t="s">
        <v>31</v>
      </c>
      <c r="I39" s="64"/>
      <c r="J39" s="64"/>
      <c r="K39" s="64"/>
      <c r="L39" s="64"/>
      <c r="M39" s="64"/>
      <c r="N39" s="64"/>
      <c r="O39" s="64"/>
      <c r="P39" s="64"/>
      <c r="Q39" s="64"/>
    </row>
    <row r="40" spans="1:17" x14ac:dyDescent="0.2">
      <c r="A40" s="25"/>
      <c r="B40" s="25"/>
      <c r="C40" s="25"/>
      <c r="D40" s="25"/>
      <c r="E40" s="25"/>
      <c r="F40" s="25"/>
      <c r="G40" s="25"/>
    </row>
    <row r="41" spans="1:17" x14ac:dyDescent="0.2">
      <c r="A41" s="15"/>
      <c r="B41" s="15"/>
      <c r="C41" s="82" t="s">
        <v>32</v>
      </c>
      <c r="D41" s="82"/>
      <c r="E41" s="82"/>
      <c r="F41" s="82"/>
    </row>
    <row r="42" spans="1:17" ht="16" x14ac:dyDescent="0.2">
      <c r="A42" s="83" t="s">
        <v>6</v>
      </c>
      <c r="B42" s="83"/>
      <c r="C42" s="79" t="s">
        <v>33</v>
      </c>
      <c r="D42" s="80"/>
      <c r="E42" s="81"/>
      <c r="F42" s="43" t="s">
        <v>34</v>
      </c>
      <c r="G42" s="2"/>
      <c r="H42" s="2"/>
      <c r="I42" s="15"/>
      <c r="J42" s="15"/>
      <c r="K42" s="15"/>
      <c r="L42" s="15"/>
      <c r="M42" s="15"/>
      <c r="N42" s="15"/>
    </row>
    <row r="43" spans="1:17" x14ac:dyDescent="0.2">
      <c r="A43" s="3" t="s">
        <v>10</v>
      </c>
      <c r="B43" s="3" t="s">
        <v>11</v>
      </c>
      <c r="C43" s="16" t="s">
        <v>35</v>
      </c>
      <c r="D43" s="16" t="s">
        <v>36</v>
      </c>
      <c r="E43" s="16" t="s">
        <v>37</v>
      </c>
      <c r="F43" s="16" t="s">
        <v>37</v>
      </c>
      <c r="G43" s="15"/>
      <c r="H43" s="15"/>
      <c r="I43" s="15"/>
      <c r="J43" s="15"/>
      <c r="K43" s="15"/>
      <c r="L43" s="15"/>
    </row>
    <row r="44" spans="1:17" x14ac:dyDescent="0.2">
      <c r="A44" s="7" t="s">
        <v>20</v>
      </c>
      <c r="B44" s="7" t="s">
        <v>38</v>
      </c>
      <c r="C44" s="8">
        <f>C18*13</f>
        <v>3484</v>
      </c>
      <c r="D44" s="17">
        <v>0.7</v>
      </c>
      <c r="E44" s="70">
        <f>(C44*D44)+(C45*D45)</f>
        <v>3484</v>
      </c>
      <c r="F44" s="70">
        <f>E44*5</f>
        <v>17420</v>
      </c>
      <c r="G44" s="15"/>
      <c r="H44" s="15"/>
      <c r="I44" s="15"/>
      <c r="J44" s="15"/>
      <c r="K44" s="15"/>
      <c r="L44" s="15"/>
    </row>
    <row r="45" spans="1:17" x14ac:dyDescent="0.2">
      <c r="A45" s="7" t="s">
        <v>18</v>
      </c>
      <c r="B45" s="7" t="s">
        <v>38</v>
      </c>
      <c r="C45" s="8">
        <f>C19*13</f>
        <v>3484</v>
      </c>
      <c r="D45" s="17">
        <v>0.3</v>
      </c>
      <c r="E45" s="71"/>
      <c r="F45" s="71"/>
      <c r="G45" s="15"/>
      <c r="H45" s="15"/>
      <c r="I45" s="15"/>
      <c r="J45" s="15"/>
      <c r="K45" s="15"/>
      <c r="L45" s="15"/>
    </row>
    <row r="46" spans="1:17" x14ac:dyDescent="0.2">
      <c r="A46" s="18"/>
      <c r="B46" s="18"/>
      <c r="C46" s="19"/>
      <c r="D46" s="20"/>
      <c r="E46" s="19"/>
      <c r="F46" s="19"/>
      <c r="G46" s="15"/>
      <c r="H46" s="15"/>
      <c r="I46" s="15"/>
      <c r="J46" s="15"/>
      <c r="K46" s="15"/>
      <c r="L46" s="15"/>
    </row>
    <row r="47" spans="1:17" x14ac:dyDescent="0.2">
      <c r="A47" s="7" t="s">
        <v>39</v>
      </c>
      <c r="B47" s="7" t="s">
        <v>40</v>
      </c>
      <c r="C47" s="8">
        <f>D22+(C22*9)</f>
        <v>11825</v>
      </c>
      <c r="D47" s="17">
        <v>1</v>
      </c>
      <c r="E47" s="8">
        <f>C47*D47</f>
        <v>11825</v>
      </c>
      <c r="F47" s="8">
        <f>E47*5</f>
        <v>59125</v>
      </c>
      <c r="G47" s="15"/>
      <c r="H47" s="15"/>
      <c r="I47" s="15"/>
      <c r="J47" s="15"/>
      <c r="K47" s="15"/>
      <c r="L47" s="15"/>
    </row>
    <row r="48" spans="1:17" x14ac:dyDescent="0.2">
      <c r="A48" s="18"/>
      <c r="B48" s="18"/>
      <c r="C48" s="19"/>
      <c r="D48" s="20"/>
      <c r="E48" s="19"/>
      <c r="F48" s="19"/>
      <c r="G48" s="15"/>
      <c r="H48" s="15"/>
      <c r="I48" s="15"/>
      <c r="J48" s="15"/>
      <c r="K48" s="15"/>
      <c r="L48" s="15"/>
    </row>
    <row r="49" spans="1:15" x14ac:dyDescent="0.2">
      <c r="A49" s="7" t="s">
        <v>27</v>
      </c>
      <c r="B49" s="7" t="s">
        <v>41</v>
      </c>
      <c r="C49" s="8">
        <f>C26*13</f>
        <v>7150</v>
      </c>
      <c r="D49" s="17">
        <v>0.8</v>
      </c>
      <c r="E49" s="70">
        <f>(C49*D49)+(C50*D50)</f>
        <v>6604</v>
      </c>
      <c r="F49" s="70">
        <f>E49+(C21*52*D49)+(C22*52*D50)</f>
        <v>28964</v>
      </c>
      <c r="G49" s="15"/>
      <c r="H49" s="15"/>
      <c r="I49" s="15"/>
      <c r="J49" s="15"/>
      <c r="K49" s="15"/>
      <c r="L49" s="15"/>
    </row>
    <row r="50" spans="1:15" x14ac:dyDescent="0.2">
      <c r="A50" s="7" t="s">
        <v>26</v>
      </c>
      <c r="B50" s="7" t="s">
        <v>42</v>
      </c>
      <c r="C50" s="8">
        <f>C25*13</f>
        <v>4420</v>
      </c>
      <c r="D50" s="17">
        <v>0.2</v>
      </c>
      <c r="E50" s="71"/>
      <c r="F50" s="71"/>
      <c r="G50" s="15"/>
      <c r="H50" s="15"/>
      <c r="I50" s="15"/>
      <c r="J50" s="15"/>
      <c r="K50" s="15"/>
      <c r="L50" s="15"/>
    </row>
    <row r="51" spans="1:15" x14ac:dyDescent="0.2">
      <c r="A51" s="18"/>
      <c r="B51" s="18"/>
      <c r="C51" s="19"/>
      <c r="D51" s="20"/>
      <c r="E51" s="19"/>
      <c r="F51" s="19"/>
      <c r="G51" s="15"/>
      <c r="H51" s="15"/>
      <c r="I51" s="15"/>
      <c r="J51" s="15"/>
      <c r="K51" s="15"/>
      <c r="L51" s="15"/>
    </row>
    <row r="52" spans="1:15" x14ac:dyDescent="0.2">
      <c r="A52" s="7" t="s">
        <v>21</v>
      </c>
      <c r="B52" s="7" t="s">
        <v>43</v>
      </c>
      <c r="C52" s="8">
        <f>C20*13</f>
        <v>5200</v>
      </c>
      <c r="D52" s="17">
        <v>0.5</v>
      </c>
      <c r="E52" s="70">
        <f>(C52*D52)+(C53*D53)</f>
        <v>5200</v>
      </c>
      <c r="F52" s="70">
        <f>E52+(C24*52*D52)+(C25*52*D53)</f>
        <v>29640</v>
      </c>
      <c r="G52" s="15"/>
      <c r="H52" s="15"/>
      <c r="I52" s="15"/>
      <c r="J52" s="15"/>
      <c r="K52" s="15"/>
      <c r="L52" s="15"/>
    </row>
    <row r="53" spans="1:15" x14ac:dyDescent="0.2">
      <c r="A53" s="7" t="s">
        <v>22</v>
      </c>
      <c r="B53" s="7" t="s">
        <v>44</v>
      </c>
      <c r="C53" s="8">
        <f>C21*13</f>
        <v>5200</v>
      </c>
      <c r="D53" s="17">
        <v>0.5</v>
      </c>
      <c r="E53" s="71"/>
      <c r="F53" s="71"/>
      <c r="G53" s="15"/>
      <c r="H53" s="15"/>
      <c r="I53" s="15"/>
      <c r="J53" s="15"/>
      <c r="K53" s="15"/>
      <c r="L53" s="15"/>
    </row>
    <row r="54" spans="1:15" x14ac:dyDescent="0.2">
      <c r="A54" s="18"/>
      <c r="B54" s="18"/>
      <c r="C54" s="19"/>
      <c r="D54" s="20"/>
      <c r="E54" s="19"/>
      <c r="F54" s="19"/>
      <c r="G54" s="15"/>
      <c r="H54" s="15"/>
      <c r="I54" s="15"/>
      <c r="J54" s="15"/>
      <c r="K54" s="15"/>
      <c r="L54" s="15"/>
    </row>
    <row r="55" spans="1:15" x14ac:dyDescent="0.2">
      <c r="A55" s="7" t="s">
        <v>45</v>
      </c>
      <c r="B55" s="7" t="s">
        <v>46</v>
      </c>
      <c r="C55" s="8">
        <f>D24+(C24*9)</f>
        <v>12900</v>
      </c>
      <c r="D55" s="17">
        <v>0.5</v>
      </c>
      <c r="E55" s="70">
        <f>(C55*D55)+(C56*D56)</f>
        <v>11550</v>
      </c>
      <c r="F55" s="70">
        <f>E55+(C25*52*D55)+(C25*26*D56)</f>
        <v>24810</v>
      </c>
      <c r="G55" s="15"/>
      <c r="H55" s="15"/>
      <c r="I55" s="15"/>
      <c r="J55" s="15"/>
      <c r="K55" s="15"/>
      <c r="L55" s="15"/>
    </row>
    <row r="56" spans="1:15" x14ac:dyDescent="0.2">
      <c r="A56" s="7" t="s">
        <v>47</v>
      </c>
      <c r="B56" s="7" t="s">
        <v>46</v>
      </c>
      <c r="C56" s="8">
        <f>D24+(C24*4.5)</f>
        <v>10200</v>
      </c>
      <c r="D56" s="17">
        <v>0.5</v>
      </c>
      <c r="E56" s="71"/>
      <c r="F56" s="71"/>
      <c r="G56" s="33"/>
      <c r="H56" s="15"/>
      <c r="I56" s="15"/>
      <c r="J56" s="15"/>
      <c r="K56" s="15"/>
      <c r="L56" s="15"/>
    </row>
    <row r="57" spans="1:15" x14ac:dyDescent="0.2">
      <c r="A57" s="21"/>
      <c r="B57" s="18"/>
      <c r="C57" s="19"/>
      <c r="D57" s="20"/>
      <c r="E57" s="19"/>
      <c r="F57" s="19"/>
      <c r="G57" s="15"/>
      <c r="H57" s="15"/>
      <c r="I57" s="15"/>
      <c r="J57" s="15"/>
      <c r="K57" s="15"/>
      <c r="L57" s="15"/>
    </row>
    <row r="58" spans="1:15" x14ac:dyDescent="0.2">
      <c r="A58" s="12" t="s">
        <v>48</v>
      </c>
      <c r="B58" s="7" t="s">
        <v>49</v>
      </c>
      <c r="C58" s="8">
        <f>D23 + (C23*9)</f>
        <v>11000</v>
      </c>
      <c r="D58" s="17">
        <v>0.2</v>
      </c>
      <c r="E58" s="70">
        <f>(C58*D58)+(C59*D59)</f>
        <v>9200</v>
      </c>
      <c r="F58" s="70">
        <f>E58+(C26*52*D58)+(C26*26*D59)</f>
        <v>26360</v>
      </c>
      <c r="G58" s="15"/>
      <c r="H58" s="15"/>
      <c r="I58" s="15"/>
      <c r="J58" s="15"/>
      <c r="K58" s="15"/>
      <c r="L58" s="15"/>
    </row>
    <row r="59" spans="1:15" x14ac:dyDescent="0.2">
      <c r="A59" s="12" t="s">
        <v>50</v>
      </c>
      <c r="B59" s="7" t="s">
        <v>49</v>
      </c>
      <c r="C59" s="8">
        <f>D23+(C23*4.5)</f>
        <v>8750</v>
      </c>
      <c r="D59" s="17">
        <v>0.8</v>
      </c>
      <c r="E59" s="71"/>
      <c r="F59" s="71"/>
      <c r="G59" s="15"/>
      <c r="H59" s="15"/>
      <c r="I59" s="15"/>
      <c r="J59" s="15"/>
      <c r="K59" s="15"/>
      <c r="L59" s="15"/>
    </row>
    <row r="60" spans="1:15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 x14ac:dyDescent="0.2">
      <c r="A61" t="s">
        <v>51</v>
      </c>
    </row>
    <row r="62" spans="1:15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1:15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1:15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1:15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spans="1:15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spans="1:15" x14ac:dyDescent="0.2">
      <c r="A70" s="72" t="s">
        <v>52</v>
      </c>
      <c r="B70" s="72"/>
      <c r="C70" s="72"/>
      <c r="D70" s="72"/>
      <c r="E70" s="72"/>
      <c r="F70" s="72"/>
      <c r="G70" s="72"/>
      <c r="H70" s="15"/>
      <c r="I70" s="15"/>
      <c r="J70" s="15"/>
      <c r="K70" s="15"/>
      <c r="L70" s="15"/>
      <c r="M70" s="15"/>
      <c r="N70" s="15"/>
      <c r="O70" s="15"/>
    </row>
    <row r="71" spans="1:15" x14ac:dyDescent="0.2">
      <c r="A71" s="15"/>
    </row>
    <row r="72" spans="1:15" x14ac:dyDescent="0.2">
      <c r="A72" s="84" t="s">
        <v>53</v>
      </c>
      <c r="B72" s="85"/>
      <c r="C72" s="86"/>
      <c r="D72" s="22">
        <v>500</v>
      </c>
    </row>
    <row r="74" spans="1:15" ht="16" x14ac:dyDescent="0.2">
      <c r="B74" s="74" t="s">
        <v>54</v>
      </c>
      <c r="C74" s="75"/>
      <c r="D74" s="75"/>
      <c r="E74" s="76"/>
      <c r="F74" s="23"/>
      <c r="G74" s="77" t="s">
        <v>55</v>
      </c>
      <c r="H74" s="77"/>
      <c r="I74" s="77"/>
      <c r="J74" s="77"/>
    </row>
    <row r="75" spans="1:15" x14ac:dyDescent="0.2">
      <c r="A75" s="24" t="s">
        <v>10</v>
      </c>
      <c r="B75" s="38" t="s">
        <v>56</v>
      </c>
      <c r="C75" s="38" t="s">
        <v>57</v>
      </c>
      <c r="D75" s="38" t="s">
        <v>58</v>
      </c>
      <c r="E75" s="38" t="s">
        <v>59</v>
      </c>
      <c r="F75" s="25"/>
      <c r="G75" s="40" t="s">
        <v>56</v>
      </c>
      <c r="H75" s="40" t="s">
        <v>57</v>
      </c>
      <c r="I75" s="40" t="s">
        <v>58</v>
      </c>
      <c r="J75" s="40" t="s">
        <v>59</v>
      </c>
    </row>
    <row r="76" spans="1:15" x14ac:dyDescent="0.2">
      <c r="A76" s="7" t="s">
        <v>60</v>
      </c>
      <c r="B76" s="26">
        <v>0.03</v>
      </c>
      <c r="C76" s="27">
        <f>D72*B76</f>
        <v>15</v>
      </c>
      <c r="D76" s="30">
        <f>C76*E44</f>
        <v>52260</v>
      </c>
      <c r="E76" s="30">
        <f>C76*F44</f>
        <v>261300</v>
      </c>
      <c r="F76" s="31"/>
      <c r="G76" s="28">
        <v>0.24</v>
      </c>
      <c r="H76" s="22">
        <f>D72*G76</f>
        <v>120</v>
      </c>
      <c r="I76" s="32">
        <f>H76*E44</f>
        <v>418080</v>
      </c>
      <c r="J76" s="32">
        <f>H76*F44</f>
        <v>2090400</v>
      </c>
    </row>
    <row r="77" spans="1:15" x14ac:dyDescent="0.2">
      <c r="A77" s="7" t="s">
        <v>61</v>
      </c>
      <c r="B77" s="26">
        <v>0.86</v>
      </c>
      <c r="C77" s="27">
        <f>D72*B77</f>
        <v>430</v>
      </c>
      <c r="D77" s="30">
        <f>C77*E47</f>
        <v>5084750</v>
      </c>
      <c r="E77" s="30">
        <f>C77*F47</f>
        <v>25423750</v>
      </c>
      <c r="G77" s="28">
        <v>0.66</v>
      </c>
      <c r="H77" s="22">
        <f>D72*G77</f>
        <v>330</v>
      </c>
      <c r="I77" s="32">
        <f>H77*E47</f>
        <v>3902250</v>
      </c>
      <c r="J77" s="32">
        <f>H77*F47</f>
        <v>19511250</v>
      </c>
    </row>
    <row r="78" spans="1:15" x14ac:dyDescent="0.2">
      <c r="A78" s="7" t="s">
        <v>62</v>
      </c>
      <c r="B78" s="26">
        <v>0.04</v>
      </c>
      <c r="C78" s="27">
        <f>D72*B78</f>
        <v>20</v>
      </c>
      <c r="D78" s="30">
        <f>C78*E49</f>
        <v>132080</v>
      </c>
      <c r="E78" s="30">
        <f>C78*F49</f>
        <v>579280</v>
      </c>
      <c r="G78" s="28">
        <v>0.03</v>
      </c>
      <c r="H78" s="22">
        <f>D72*G78</f>
        <v>15</v>
      </c>
      <c r="I78" s="32">
        <f>H78*E49</f>
        <v>99060</v>
      </c>
      <c r="J78" s="32">
        <f>H78*F49</f>
        <v>434460</v>
      </c>
    </row>
    <row r="79" spans="1:15" x14ac:dyDescent="0.2">
      <c r="A79" s="7" t="s">
        <v>63</v>
      </c>
      <c r="B79" s="26">
        <v>0.02</v>
      </c>
      <c r="C79" s="27">
        <f>D72*B79</f>
        <v>10</v>
      </c>
      <c r="D79" s="30">
        <f>C79*E52</f>
        <v>52000</v>
      </c>
      <c r="E79" s="30">
        <f>C79*F52</f>
        <v>296400</v>
      </c>
      <c r="G79" s="28">
        <v>0.02</v>
      </c>
      <c r="H79" s="22">
        <f>D72*G79</f>
        <v>10</v>
      </c>
      <c r="I79" s="32">
        <f>H79*E52</f>
        <v>52000</v>
      </c>
      <c r="J79" s="32">
        <f>H79*F52</f>
        <v>296400</v>
      </c>
    </row>
    <row r="80" spans="1:15" x14ac:dyDescent="0.2">
      <c r="A80" s="7" t="s">
        <v>64</v>
      </c>
      <c r="B80" s="26">
        <v>0.04</v>
      </c>
      <c r="C80" s="27">
        <f>D72*B80</f>
        <v>20</v>
      </c>
      <c r="D80" s="30">
        <f>C80*E55</f>
        <v>231000</v>
      </c>
      <c r="E80" s="30">
        <f>C80*F55</f>
        <v>496200</v>
      </c>
      <c r="G80" s="28">
        <v>0.04</v>
      </c>
      <c r="H80" s="22">
        <f>D72*G80</f>
        <v>20</v>
      </c>
      <c r="I80" s="32">
        <f>H80*E55</f>
        <v>231000</v>
      </c>
      <c r="J80" s="32">
        <f>H80*F55</f>
        <v>496200</v>
      </c>
    </row>
    <row r="81" spans="1:10" x14ac:dyDescent="0.2">
      <c r="A81" s="12" t="s">
        <v>65</v>
      </c>
      <c r="B81" s="26">
        <v>0.01</v>
      </c>
      <c r="C81" s="27">
        <f>D72*B81</f>
        <v>5</v>
      </c>
      <c r="D81" s="30">
        <f>C81*E58</f>
        <v>46000</v>
      </c>
      <c r="E81" s="30">
        <f>C81*F58</f>
        <v>131800</v>
      </c>
      <c r="G81" s="28">
        <v>0.01</v>
      </c>
      <c r="H81" s="22">
        <f>D72*G81</f>
        <v>5</v>
      </c>
      <c r="I81" s="32">
        <f>H81*E58</f>
        <v>46000</v>
      </c>
      <c r="J81" s="32">
        <f>H81*F58</f>
        <v>131800</v>
      </c>
    </row>
    <row r="82" spans="1:10" x14ac:dyDescent="0.2">
      <c r="B82" s="29">
        <f>SUM(B76:B81)</f>
        <v>1</v>
      </c>
      <c r="C82" s="1">
        <f>SUM(C76:C81)</f>
        <v>500</v>
      </c>
      <c r="D82" s="39">
        <f>SUM(D76:D81)</f>
        <v>5598090</v>
      </c>
      <c r="E82" s="39">
        <f>SUM(E76:E81)</f>
        <v>27188730</v>
      </c>
      <c r="G82" s="29">
        <f>SUM(G76:G81)</f>
        <v>1</v>
      </c>
      <c r="H82" s="1">
        <f>SUM(H76:H81)</f>
        <v>500</v>
      </c>
      <c r="I82" s="39">
        <f>SUM(I76:I81)</f>
        <v>4748390</v>
      </c>
      <c r="J82" s="39">
        <f>SUM(J76:J81)</f>
        <v>22960510</v>
      </c>
    </row>
    <row r="84" spans="1:10" ht="16" x14ac:dyDescent="0.2">
      <c r="G84" s="66" t="s">
        <v>66</v>
      </c>
      <c r="H84" s="66"/>
      <c r="I84" s="41">
        <f>D82-I82</f>
        <v>849700</v>
      </c>
      <c r="J84" s="41">
        <f>E82-J82</f>
        <v>4228220</v>
      </c>
    </row>
    <row r="108" spans="1:1" x14ac:dyDescent="0.2">
      <c r="A108" s="8">
        <v>268</v>
      </c>
    </row>
    <row r="109" spans="1:1" x14ac:dyDescent="0.2">
      <c r="A109" s="8">
        <v>268</v>
      </c>
    </row>
    <row r="110" spans="1:1" x14ac:dyDescent="0.2">
      <c r="A110" s="8">
        <v>530</v>
      </c>
    </row>
    <row r="111" spans="1:1" x14ac:dyDescent="0.2">
      <c r="A111" s="8">
        <v>530</v>
      </c>
    </row>
    <row r="112" spans="1:1" x14ac:dyDescent="0.2">
      <c r="A112" s="8">
        <v>340</v>
      </c>
    </row>
    <row r="113" spans="1:1" x14ac:dyDescent="0.2">
      <c r="A113" s="8">
        <v>390</v>
      </c>
    </row>
    <row r="114" spans="1:1" x14ac:dyDescent="0.2">
      <c r="A114" s="8">
        <v>390</v>
      </c>
    </row>
    <row r="115" spans="1:1" x14ac:dyDescent="0.2">
      <c r="A115" s="8">
        <v>600</v>
      </c>
    </row>
    <row r="116" spans="1:1" x14ac:dyDescent="0.2">
      <c r="A116" s="8"/>
    </row>
    <row r="117" spans="1:1" x14ac:dyDescent="0.2">
      <c r="A117" s="13">
        <v>500</v>
      </c>
    </row>
  </sheetData>
  <autoFilter ref="A17:M26" xr:uid="{17CA3959-DC19-4F53-82F9-EC63A22F1E6D}">
    <sortState xmlns:xlrd2="http://schemas.microsoft.com/office/spreadsheetml/2017/richdata2" ref="A18:M26">
      <sortCondition ref="A17:A26"/>
    </sortState>
  </autoFilter>
  <mergeCells count="29">
    <mergeCell ref="G74:J74"/>
    <mergeCell ref="J16:M16"/>
    <mergeCell ref="C42:E42"/>
    <mergeCell ref="C41:F41"/>
    <mergeCell ref="A42:B42"/>
    <mergeCell ref="E55:E56"/>
    <mergeCell ref="A72:C72"/>
    <mergeCell ref="A16:B16"/>
    <mergeCell ref="E16:H16"/>
    <mergeCell ref="E58:E59"/>
    <mergeCell ref="C16:D16"/>
    <mergeCell ref="H38:Q38"/>
    <mergeCell ref="H39:Q39"/>
    <mergeCell ref="D13:M13"/>
    <mergeCell ref="D12:M12"/>
    <mergeCell ref="G84:H84"/>
    <mergeCell ref="A1:O10"/>
    <mergeCell ref="A39:G39"/>
    <mergeCell ref="F44:F45"/>
    <mergeCell ref="F49:F50"/>
    <mergeCell ref="F52:F53"/>
    <mergeCell ref="F55:F56"/>
    <mergeCell ref="F58:F59"/>
    <mergeCell ref="A70:G70"/>
    <mergeCell ref="E44:E45"/>
    <mergeCell ref="E49:E50"/>
    <mergeCell ref="E52:E53"/>
    <mergeCell ref="A12:C12"/>
    <mergeCell ref="B74:E74"/>
  </mergeCells>
  <phoneticPr fontId="7" type="noConversion"/>
  <conditionalFormatting sqref="E18:E26">
    <cfRule type="colorScale" priority="4">
      <colorScale>
        <cfvo type="min"/>
        <cfvo type="percentile" val="20"/>
        <cfvo type="max"/>
        <color theme="9"/>
        <color rgb="FFFFEB84"/>
        <color rgb="FFFF0000"/>
      </colorScale>
    </cfRule>
    <cfRule type="colorScale" priority="5">
      <colorScale>
        <cfvo type="min"/>
        <cfvo type="percentile" val="80"/>
        <cfvo type="max"/>
        <color theme="9" tint="0.39997558519241921"/>
        <color rgb="FFFFEB84"/>
        <color rgb="FFFF0000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8:F26">
    <cfRule type="colorScale" priority="3">
      <colorScale>
        <cfvo type="min"/>
        <cfvo type="percentile" val="20"/>
        <cfvo type="max"/>
        <color theme="9"/>
        <color rgb="FFFFEB84"/>
        <color rgb="FFFF0000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8:G26">
    <cfRule type="colorScale" priority="2">
      <colorScale>
        <cfvo type="min"/>
        <cfvo type="percentile" val="20"/>
        <cfvo type="max"/>
        <color theme="9"/>
        <color rgb="FFFFEB84"/>
        <color rgb="FFFF0000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8:H26">
    <cfRule type="colorScale" priority="1">
      <colorScale>
        <cfvo type="min"/>
        <cfvo type="percentile" val="20"/>
        <cfvo type="max"/>
        <color theme="9"/>
        <color rgb="FFFFEB84"/>
        <color rgb="FFFF0000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FEE7-0F3E-400B-82E7-43ABF79E87CC}">
  <dimension ref="A1:N116"/>
  <sheetViews>
    <sheetView zoomScale="80" zoomScaleNormal="80" workbookViewId="0">
      <selection activeCell="G21" sqref="G21"/>
    </sheetView>
  </sheetViews>
  <sheetFormatPr baseColWidth="10" defaultColWidth="8.83203125" defaultRowHeight="15" x14ac:dyDescent="0.2"/>
  <cols>
    <col min="1" max="1" width="41.6640625" customWidth="1"/>
    <col min="2" max="2" width="18" customWidth="1"/>
    <col min="3" max="3" width="17.33203125" customWidth="1"/>
    <col min="4" max="4" width="16" customWidth="1"/>
    <col min="5" max="6" width="15.33203125" customWidth="1"/>
    <col min="7" max="7" width="14.5" customWidth="1"/>
    <col min="8" max="8" width="14.83203125" customWidth="1"/>
    <col min="9" max="9" width="15.33203125" customWidth="1"/>
    <col min="10" max="10" width="15" customWidth="1"/>
    <col min="11" max="11" width="10.83203125" customWidth="1"/>
    <col min="12" max="12" width="11.1640625" customWidth="1"/>
    <col min="13" max="13" width="11.6640625" customWidth="1"/>
    <col min="14" max="14" width="12.5" customWidth="1"/>
    <col min="15" max="16" width="11.5" customWidth="1"/>
    <col min="17" max="17" width="10.33203125" customWidth="1"/>
    <col min="18" max="18" width="11.5" customWidth="1"/>
    <col min="19" max="19" width="12.33203125" customWidth="1"/>
    <col min="20" max="20" width="3.5" customWidth="1"/>
    <col min="21" max="21" width="9.1640625" customWidth="1"/>
  </cols>
  <sheetData>
    <row r="1" spans="1:14" ht="17.25" customHeight="1" x14ac:dyDescent="0.2">
      <c r="A1" s="67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x14ac:dyDescent="0.2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1:14" x14ac:dyDescent="0.2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</row>
    <row r="4" spans="1:14" x14ac:dyDescent="0.2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</row>
    <row r="5" spans="1:14" x14ac:dyDescent="0.2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</row>
    <row r="6" spans="1:14" x14ac:dyDescent="0.2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</row>
    <row r="7" spans="1:14" x14ac:dyDescent="0.2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</row>
    <row r="8" spans="1:14" x14ac:dyDescent="0.2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</row>
    <row r="9" spans="1:14" x14ac:dyDescent="0.2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</row>
    <row r="10" spans="1:14" x14ac:dyDescent="0.2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</row>
    <row r="11" spans="1:14" x14ac:dyDescent="0.2">
      <c r="A11" s="73" t="s">
        <v>67</v>
      </c>
      <c r="B11" s="73"/>
      <c r="C11" s="73"/>
      <c r="D11" s="73"/>
      <c r="E11" s="73"/>
      <c r="F11" s="73"/>
      <c r="G11" s="36"/>
      <c r="H11" s="36"/>
      <c r="I11" s="1"/>
      <c r="J11" s="1"/>
      <c r="K11" s="1"/>
      <c r="L11" s="1"/>
      <c r="M11" s="1"/>
      <c r="N11" s="1"/>
    </row>
    <row r="12" spans="1:14" x14ac:dyDescent="0.2">
      <c r="A12" s="35"/>
      <c r="B12" s="35"/>
      <c r="C12" s="35"/>
      <c r="D12" s="35"/>
      <c r="E12" s="35"/>
      <c r="F12" s="35"/>
      <c r="G12" s="36"/>
      <c r="H12" s="36"/>
      <c r="I12" s="1"/>
      <c r="J12" s="1"/>
      <c r="K12" s="1"/>
      <c r="L12" s="1"/>
      <c r="M12" s="1"/>
      <c r="N12" s="1"/>
    </row>
    <row r="13" spans="1:14" x14ac:dyDescent="0.2">
      <c r="A13" s="35" t="s">
        <v>68</v>
      </c>
      <c r="B13" s="35" t="s">
        <v>69</v>
      </c>
      <c r="C13" s="35"/>
      <c r="D13" s="35"/>
      <c r="E13" s="35"/>
      <c r="F13" s="35"/>
      <c r="G13" s="36"/>
      <c r="H13" s="36"/>
      <c r="I13" s="1"/>
      <c r="J13" s="1"/>
      <c r="K13" s="1"/>
      <c r="L13" s="1"/>
      <c r="M13" s="1"/>
      <c r="N13" s="1"/>
    </row>
    <row r="14" spans="1:14" x14ac:dyDescent="0.2">
      <c r="A14" s="35"/>
      <c r="B14" s="35"/>
      <c r="C14" s="35"/>
      <c r="D14" s="35"/>
      <c r="E14" s="35"/>
      <c r="F14" s="35"/>
      <c r="G14" s="35"/>
      <c r="H14" s="36"/>
      <c r="I14" s="1"/>
      <c r="J14" s="1"/>
      <c r="K14" s="1"/>
      <c r="L14" s="1"/>
      <c r="M14" s="1"/>
      <c r="N14" s="1"/>
    </row>
    <row r="15" spans="1:14" ht="16" x14ac:dyDescent="0.2">
      <c r="A15" s="83" t="s">
        <v>6</v>
      </c>
      <c r="B15" s="83"/>
      <c r="C15" s="90" t="s">
        <v>7</v>
      </c>
      <c r="D15" s="90"/>
      <c r="E15" s="94" t="s">
        <v>70</v>
      </c>
      <c r="F15" s="94"/>
      <c r="G15" s="94"/>
      <c r="H15" s="94"/>
      <c r="I15" s="2"/>
      <c r="J15" s="2"/>
      <c r="K15" s="95" t="s">
        <v>71</v>
      </c>
      <c r="L15" s="96"/>
      <c r="M15" s="96"/>
      <c r="N15" s="97"/>
    </row>
    <row r="16" spans="1:14" x14ac:dyDescent="0.2">
      <c r="A16" s="3" t="s">
        <v>10</v>
      </c>
      <c r="B16" s="3" t="s">
        <v>11</v>
      </c>
      <c r="C16" s="4" t="s">
        <v>12</v>
      </c>
      <c r="D16" s="4" t="s">
        <v>72</v>
      </c>
      <c r="E16" s="5" t="s">
        <v>15</v>
      </c>
      <c r="F16" s="5" t="s">
        <v>16</v>
      </c>
      <c r="G16" s="5" t="s">
        <v>73</v>
      </c>
      <c r="H16" s="5" t="s">
        <v>17</v>
      </c>
      <c r="I16" s="1"/>
      <c r="J16" s="1"/>
      <c r="K16" s="6" t="s">
        <v>15</v>
      </c>
      <c r="L16" s="6" t="s">
        <v>16</v>
      </c>
      <c r="M16" s="6" t="s">
        <v>74</v>
      </c>
      <c r="N16" s="6" t="s">
        <v>17</v>
      </c>
    </row>
    <row r="17" spans="1:14" x14ac:dyDescent="0.2">
      <c r="A17" s="7" t="s">
        <v>20</v>
      </c>
      <c r="B17" s="7" t="s">
        <v>38</v>
      </c>
      <c r="C17" s="8">
        <v>0</v>
      </c>
      <c r="D17" s="8">
        <f t="shared" ref="D17:D23" si="0">C17*4</f>
        <v>0</v>
      </c>
      <c r="E17" s="9">
        <f>IFERROR(D17/K17*100,"N/A")</f>
        <v>0</v>
      </c>
      <c r="F17" s="9">
        <f t="shared" ref="F17:F25" si="1">IFERROR(D17/L17*100,"N/A")</f>
        <v>0</v>
      </c>
      <c r="G17" s="9">
        <f t="shared" ref="G17:G25" si="2">IFERROR(D17/M17*100,"N/A")</f>
        <v>0</v>
      </c>
      <c r="H17" s="9">
        <f t="shared" ref="H17:H25" si="3">IFERROR(D17/N17*100,"N/A")</f>
        <v>0</v>
      </c>
      <c r="K17" s="10">
        <v>64.5</v>
      </c>
      <c r="L17" s="10">
        <v>45.2</v>
      </c>
      <c r="M17" s="11">
        <v>45.4</v>
      </c>
      <c r="N17" s="10">
        <v>39.299999999999997</v>
      </c>
    </row>
    <row r="18" spans="1:14" x14ac:dyDescent="0.2">
      <c r="A18" s="7" t="s">
        <v>18</v>
      </c>
      <c r="B18" s="7" t="s">
        <v>38</v>
      </c>
      <c r="C18" s="8">
        <v>0</v>
      </c>
      <c r="D18" s="8">
        <f>C18*4</f>
        <v>0</v>
      </c>
      <c r="E18" s="9">
        <f t="shared" ref="E18:E25" si="4">IFERROR(D18/K18*100,"N/A")</f>
        <v>0</v>
      </c>
      <c r="F18" s="9">
        <f t="shared" si="1"/>
        <v>0</v>
      </c>
      <c r="G18" s="9">
        <f t="shared" si="2"/>
        <v>0</v>
      </c>
      <c r="H18" s="9">
        <f t="shared" si="3"/>
        <v>0</v>
      </c>
      <c r="K18" s="10">
        <v>44.8</v>
      </c>
      <c r="L18" s="10">
        <v>26.8</v>
      </c>
      <c r="M18" s="11">
        <v>31.5</v>
      </c>
      <c r="N18" s="10">
        <v>24.5</v>
      </c>
    </row>
    <row r="19" spans="1:14" x14ac:dyDescent="0.2">
      <c r="A19" s="7" t="s">
        <v>23</v>
      </c>
      <c r="B19" s="7" t="s">
        <v>40</v>
      </c>
      <c r="C19" s="8">
        <v>0</v>
      </c>
      <c r="D19" s="8">
        <f>C19*4.5</f>
        <v>0</v>
      </c>
      <c r="E19" s="9">
        <f t="shared" si="4"/>
        <v>0</v>
      </c>
      <c r="F19" s="9">
        <f t="shared" si="1"/>
        <v>0</v>
      </c>
      <c r="G19" s="9">
        <f t="shared" si="2"/>
        <v>0</v>
      </c>
      <c r="H19" s="9">
        <f t="shared" si="3"/>
        <v>0</v>
      </c>
      <c r="K19" s="10">
        <v>45.2</v>
      </c>
      <c r="L19" s="10">
        <v>27.3</v>
      </c>
      <c r="M19" s="10">
        <v>33.9</v>
      </c>
      <c r="N19" s="10">
        <v>32.4</v>
      </c>
    </row>
    <row r="20" spans="1:14" x14ac:dyDescent="0.2">
      <c r="A20" s="7" t="s">
        <v>27</v>
      </c>
      <c r="B20" s="7" t="s">
        <v>41</v>
      </c>
      <c r="C20" s="8">
        <v>0</v>
      </c>
      <c r="D20" s="8">
        <f t="shared" si="0"/>
        <v>0</v>
      </c>
      <c r="E20" s="9">
        <f t="shared" si="4"/>
        <v>0</v>
      </c>
      <c r="F20" s="9">
        <f t="shared" si="1"/>
        <v>0</v>
      </c>
      <c r="G20" s="9">
        <f t="shared" si="2"/>
        <v>0</v>
      </c>
      <c r="H20" s="9">
        <f t="shared" si="3"/>
        <v>0</v>
      </c>
      <c r="K20" s="10">
        <v>72.3</v>
      </c>
      <c r="L20" s="10">
        <v>58.3</v>
      </c>
      <c r="M20" s="10">
        <v>56.1</v>
      </c>
      <c r="N20" s="10">
        <v>61.8</v>
      </c>
    </row>
    <row r="21" spans="1:14" x14ac:dyDescent="0.2">
      <c r="A21" s="7" t="s">
        <v>26</v>
      </c>
      <c r="B21" s="7" t="s">
        <v>42</v>
      </c>
      <c r="C21" s="8">
        <v>0</v>
      </c>
      <c r="D21" s="8">
        <f t="shared" si="0"/>
        <v>0</v>
      </c>
      <c r="E21" s="9">
        <f t="shared" si="4"/>
        <v>0</v>
      </c>
      <c r="F21" s="9">
        <f t="shared" si="1"/>
        <v>0</v>
      </c>
      <c r="G21" s="9">
        <f t="shared" si="2"/>
        <v>0</v>
      </c>
      <c r="H21" s="9">
        <f t="shared" si="3"/>
        <v>0</v>
      </c>
      <c r="K21" s="10">
        <v>59.8</v>
      </c>
      <c r="L21" s="10">
        <v>43.7</v>
      </c>
      <c r="M21" s="10">
        <v>42.9</v>
      </c>
      <c r="N21" s="10">
        <v>48.1</v>
      </c>
    </row>
    <row r="22" spans="1:14" x14ac:dyDescent="0.2">
      <c r="A22" s="7" t="s">
        <v>21</v>
      </c>
      <c r="B22" s="7" t="s">
        <v>43</v>
      </c>
      <c r="C22" s="8">
        <v>0</v>
      </c>
      <c r="D22" s="8">
        <f t="shared" si="0"/>
        <v>0</v>
      </c>
      <c r="E22" s="9">
        <f t="shared" si="4"/>
        <v>0</v>
      </c>
      <c r="F22" s="9">
        <f t="shared" si="1"/>
        <v>0</v>
      </c>
      <c r="G22" s="9">
        <f t="shared" si="2"/>
        <v>0</v>
      </c>
      <c r="H22" s="9">
        <f t="shared" si="3"/>
        <v>0</v>
      </c>
      <c r="K22" s="10">
        <v>31.2</v>
      </c>
      <c r="L22" s="10">
        <v>19.399999999999999</v>
      </c>
      <c r="M22" s="10">
        <v>24</v>
      </c>
      <c r="N22" s="10">
        <v>22</v>
      </c>
    </row>
    <row r="23" spans="1:14" x14ac:dyDescent="0.2">
      <c r="A23" s="7" t="s">
        <v>22</v>
      </c>
      <c r="B23" s="7" t="s">
        <v>44</v>
      </c>
      <c r="C23" s="8">
        <v>0</v>
      </c>
      <c r="D23" s="8">
        <f t="shared" si="0"/>
        <v>0</v>
      </c>
      <c r="E23" s="9">
        <f t="shared" si="4"/>
        <v>0</v>
      </c>
      <c r="F23" s="9">
        <f t="shared" si="1"/>
        <v>0</v>
      </c>
      <c r="G23" s="9">
        <f t="shared" si="2"/>
        <v>0</v>
      </c>
      <c r="H23" s="9">
        <f t="shared" si="3"/>
        <v>0</v>
      </c>
      <c r="K23" s="10">
        <v>35.799999999999997</v>
      </c>
      <c r="L23" s="10">
        <v>25</v>
      </c>
      <c r="M23" s="10">
        <v>30.9</v>
      </c>
      <c r="N23" s="10">
        <v>26.7</v>
      </c>
    </row>
    <row r="24" spans="1:14" x14ac:dyDescent="0.2">
      <c r="A24" s="7" t="s">
        <v>25</v>
      </c>
      <c r="B24" s="7" t="s">
        <v>46</v>
      </c>
      <c r="C24" s="8">
        <v>0</v>
      </c>
      <c r="D24" s="8">
        <f>C24*4.5</f>
        <v>0</v>
      </c>
      <c r="E24" s="9">
        <f t="shared" si="4"/>
        <v>0</v>
      </c>
      <c r="F24" s="9">
        <f t="shared" si="1"/>
        <v>0</v>
      </c>
      <c r="G24" s="9">
        <f t="shared" si="2"/>
        <v>0</v>
      </c>
      <c r="H24" s="9">
        <f t="shared" si="3"/>
        <v>0</v>
      </c>
      <c r="K24" s="10">
        <v>29.5</v>
      </c>
      <c r="L24" s="10">
        <v>19.5</v>
      </c>
      <c r="M24" s="10">
        <v>20.8</v>
      </c>
      <c r="N24" s="10">
        <v>16.600000000000001</v>
      </c>
    </row>
    <row r="25" spans="1:14" x14ac:dyDescent="0.2">
      <c r="A25" s="12" t="s">
        <v>24</v>
      </c>
      <c r="B25" s="7" t="s">
        <v>49</v>
      </c>
      <c r="C25" s="13">
        <v>0</v>
      </c>
      <c r="D25" s="13">
        <f>C25*5</f>
        <v>0</v>
      </c>
      <c r="E25" s="9">
        <f t="shared" si="4"/>
        <v>0</v>
      </c>
      <c r="F25" s="9">
        <f t="shared" si="1"/>
        <v>0</v>
      </c>
      <c r="G25" s="9">
        <f t="shared" si="2"/>
        <v>0</v>
      </c>
      <c r="H25" s="9">
        <f t="shared" si="3"/>
        <v>0</v>
      </c>
      <c r="K25" s="10">
        <v>45.4</v>
      </c>
      <c r="L25" s="10">
        <v>23.7</v>
      </c>
      <c r="M25" s="10">
        <v>34.4</v>
      </c>
      <c r="N25" s="10">
        <v>28</v>
      </c>
    </row>
    <row r="26" spans="1:14" x14ac:dyDescent="0.2">
      <c r="A26" s="14"/>
      <c r="B26" s="14"/>
      <c r="C26" s="14"/>
      <c r="D26" s="14"/>
      <c r="E26" s="14"/>
    </row>
    <row r="28" spans="1:14" x14ac:dyDescent="0.2">
      <c r="A28" t="s">
        <v>75</v>
      </c>
    </row>
    <row r="29" spans="1:14" ht="32" x14ac:dyDescent="0.2">
      <c r="A29" s="37" t="s">
        <v>29</v>
      </c>
    </row>
    <row r="33" spans="1:14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14" x14ac:dyDescent="0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x14ac:dyDescent="0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x14ac:dyDescent="0.2">
      <c r="A38" s="69" t="s">
        <v>30</v>
      </c>
      <c r="B38" s="69"/>
      <c r="C38" s="69"/>
      <c r="D38" s="69"/>
      <c r="E38" s="69"/>
      <c r="F38" s="69"/>
    </row>
    <row r="39" spans="1:14" x14ac:dyDescent="0.2">
      <c r="A39" s="25"/>
      <c r="B39" s="25"/>
      <c r="C39" s="25"/>
      <c r="D39" s="25"/>
      <c r="E39" s="25"/>
      <c r="F39" s="25"/>
    </row>
    <row r="40" spans="1:14" x14ac:dyDescent="0.2">
      <c r="A40" s="15"/>
      <c r="B40" s="15"/>
      <c r="C40" s="93" t="s">
        <v>32</v>
      </c>
      <c r="D40" s="93"/>
      <c r="E40" s="93"/>
      <c r="F40" s="93"/>
    </row>
    <row r="41" spans="1:14" ht="16" x14ac:dyDescent="0.2">
      <c r="A41" s="83" t="s">
        <v>6</v>
      </c>
      <c r="B41" s="83"/>
      <c r="C41" s="90" t="s">
        <v>33</v>
      </c>
      <c r="D41" s="90"/>
      <c r="E41" s="90"/>
      <c r="F41" s="34" t="s">
        <v>34</v>
      </c>
      <c r="G41" s="2"/>
      <c r="H41" s="2"/>
      <c r="I41" s="15"/>
      <c r="J41" s="15"/>
      <c r="K41" s="15"/>
      <c r="L41" s="15"/>
      <c r="M41" s="15"/>
      <c r="N41" s="15"/>
    </row>
    <row r="42" spans="1:14" x14ac:dyDescent="0.2">
      <c r="A42" s="3" t="s">
        <v>10</v>
      </c>
      <c r="B42" s="3" t="s">
        <v>11</v>
      </c>
      <c r="C42" s="16" t="s">
        <v>35</v>
      </c>
      <c r="D42" s="16" t="s">
        <v>36</v>
      </c>
      <c r="E42" s="16" t="s">
        <v>37</v>
      </c>
      <c r="F42" s="16" t="s">
        <v>37</v>
      </c>
      <c r="G42" s="15"/>
      <c r="H42" s="15"/>
      <c r="I42" s="15"/>
      <c r="J42" s="15"/>
      <c r="K42" s="15"/>
      <c r="L42" s="15"/>
    </row>
    <row r="43" spans="1:14" x14ac:dyDescent="0.2">
      <c r="A43" s="7" t="s">
        <v>20</v>
      </c>
      <c r="B43" s="7" t="s">
        <v>38</v>
      </c>
      <c r="C43" s="8">
        <f>C17*13</f>
        <v>0</v>
      </c>
      <c r="D43" s="17">
        <v>0.7</v>
      </c>
      <c r="E43" s="70">
        <f>(C43*D43)+(C44*D44)</f>
        <v>0</v>
      </c>
      <c r="F43" s="70">
        <f>E43*5</f>
        <v>0</v>
      </c>
      <c r="G43" s="15"/>
      <c r="H43" s="15"/>
      <c r="I43" s="15"/>
      <c r="J43" s="15"/>
      <c r="K43" s="15"/>
      <c r="L43" s="15"/>
    </row>
    <row r="44" spans="1:14" x14ac:dyDescent="0.2">
      <c r="A44" s="7" t="s">
        <v>18</v>
      </c>
      <c r="B44" s="7" t="s">
        <v>38</v>
      </c>
      <c r="C44" s="8">
        <f>C18*13</f>
        <v>0</v>
      </c>
      <c r="D44" s="17">
        <v>0.3</v>
      </c>
      <c r="E44" s="71"/>
      <c r="F44" s="71"/>
      <c r="G44" s="15"/>
      <c r="H44" s="15"/>
      <c r="I44" s="15"/>
      <c r="J44" s="15"/>
      <c r="K44" s="15"/>
      <c r="L44" s="15"/>
    </row>
    <row r="45" spans="1:14" x14ac:dyDescent="0.2">
      <c r="A45" s="18"/>
      <c r="B45" s="18"/>
      <c r="C45" s="19"/>
      <c r="D45" s="20"/>
      <c r="E45" s="19"/>
      <c r="F45" s="19"/>
      <c r="G45" s="15"/>
      <c r="H45" s="15"/>
      <c r="I45" s="15"/>
      <c r="J45" s="15"/>
      <c r="K45" s="15"/>
      <c r="L45" s="15"/>
    </row>
    <row r="46" spans="1:14" x14ac:dyDescent="0.2">
      <c r="A46" s="7" t="s">
        <v>39</v>
      </c>
      <c r="B46" s="7" t="s">
        <v>40</v>
      </c>
      <c r="C46" s="8">
        <f>D19+(C19*9)</f>
        <v>0</v>
      </c>
      <c r="D46" s="17">
        <v>1</v>
      </c>
      <c r="E46" s="8">
        <f>C46*D46</f>
        <v>0</v>
      </c>
      <c r="F46" s="8">
        <f>E46*5</f>
        <v>0</v>
      </c>
      <c r="G46" s="15"/>
      <c r="H46" s="15"/>
      <c r="I46" s="15"/>
      <c r="J46" s="15"/>
      <c r="K46" s="15"/>
      <c r="L46" s="15"/>
    </row>
    <row r="47" spans="1:14" x14ac:dyDescent="0.2">
      <c r="A47" s="18"/>
      <c r="B47" s="18"/>
      <c r="C47" s="19"/>
      <c r="D47" s="20"/>
      <c r="E47" s="19"/>
      <c r="F47" s="19"/>
      <c r="G47" s="15"/>
      <c r="H47" s="15"/>
      <c r="I47" s="15"/>
      <c r="J47" s="15"/>
      <c r="K47" s="15"/>
      <c r="L47" s="15"/>
    </row>
    <row r="48" spans="1:14" x14ac:dyDescent="0.2">
      <c r="A48" s="7" t="s">
        <v>27</v>
      </c>
      <c r="B48" s="7" t="s">
        <v>41</v>
      </c>
      <c r="C48" s="8">
        <f>C20*13</f>
        <v>0</v>
      </c>
      <c r="D48" s="17">
        <v>0.5</v>
      </c>
      <c r="E48" s="70">
        <f>(C48*D48)+(C49*D49)</f>
        <v>0</v>
      </c>
      <c r="F48" s="70">
        <f>E48+(C20*52*D48)+(C21*52*D49)</f>
        <v>0</v>
      </c>
      <c r="G48" s="15"/>
      <c r="H48" s="15"/>
      <c r="I48" s="15"/>
      <c r="J48" s="15"/>
      <c r="K48" s="15"/>
      <c r="L48" s="15"/>
    </row>
    <row r="49" spans="1:14" x14ac:dyDescent="0.2">
      <c r="A49" s="7" t="s">
        <v>26</v>
      </c>
      <c r="B49" s="7" t="s">
        <v>42</v>
      </c>
      <c r="C49" s="8">
        <f>C21*13</f>
        <v>0</v>
      </c>
      <c r="D49" s="17">
        <v>0.5</v>
      </c>
      <c r="E49" s="71"/>
      <c r="F49" s="71"/>
      <c r="G49" s="15"/>
      <c r="H49" s="15"/>
      <c r="I49" s="15"/>
      <c r="J49" s="15"/>
      <c r="K49" s="15"/>
      <c r="L49" s="15"/>
    </row>
    <row r="50" spans="1:14" x14ac:dyDescent="0.2">
      <c r="A50" s="18"/>
      <c r="B50" s="18"/>
      <c r="C50" s="19"/>
      <c r="D50" s="20"/>
      <c r="E50" s="19"/>
      <c r="F50" s="19"/>
      <c r="G50" s="15"/>
      <c r="H50" s="15"/>
      <c r="I50" s="15"/>
      <c r="J50" s="15"/>
      <c r="K50" s="15"/>
      <c r="L50" s="15"/>
    </row>
    <row r="51" spans="1:14" x14ac:dyDescent="0.2">
      <c r="A51" s="7" t="s">
        <v>21</v>
      </c>
      <c r="B51" s="7" t="s">
        <v>43</v>
      </c>
      <c r="C51" s="8">
        <f>C22*13</f>
        <v>0</v>
      </c>
      <c r="D51" s="17">
        <v>0.5</v>
      </c>
      <c r="E51" s="70">
        <f>(C51*D51)+(C52*D52)</f>
        <v>0</v>
      </c>
      <c r="F51" s="70">
        <f>E51+(C23*52*D51)+(C24*52*D52)</f>
        <v>0</v>
      </c>
      <c r="G51" s="15"/>
      <c r="H51" s="15"/>
      <c r="I51" s="15"/>
      <c r="J51" s="15"/>
      <c r="K51" s="15"/>
      <c r="L51" s="15"/>
    </row>
    <row r="52" spans="1:14" x14ac:dyDescent="0.2">
      <c r="A52" s="7" t="s">
        <v>22</v>
      </c>
      <c r="B52" s="7" t="s">
        <v>44</v>
      </c>
      <c r="C52" s="8">
        <f>C23*13</f>
        <v>0</v>
      </c>
      <c r="D52" s="17">
        <v>0.5</v>
      </c>
      <c r="E52" s="71"/>
      <c r="F52" s="71"/>
      <c r="G52" s="15"/>
      <c r="H52" s="15"/>
      <c r="I52" s="15"/>
      <c r="J52" s="15"/>
      <c r="K52" s="15"/>
      <c r="L52" s="15"/>
    </row>
    <row r="53" spans="1:14" x14ac:dyDescent="0.2">
      <c r="A53" s="18"/>
      <c r="B53" s="18"/>
      <c r="C53" s="19"/>
      <c r="D53" s="20"/>
      <c r="E53" s="19"/>
      <c r="F53" s="19"/>
      <c r="G53" s="15"/>
      <c r="H53" s="15"/>
      <c r="I53" s="15"/>
      <c r="J53" s="15"/>
      <c r="K53" s="15"/>
      <c r="L53" s="15"/>
    </row>
    <row r="54" spans="1:14" x14ac:dyDescent="0.2">
      <c r="A54" s="7" t="s">
        <v>45</v>
      </c>
      <c r="B54" s="7" t="s">
        <v>46</v>
      </c>
      <c r="C54" s="8">
        <f>D24+(C24*9)</f>
        <v>0</v>
      </c>
      <c r="D54" s="17">
        <v>0.5</v>
      </c>
      <c r="E54" s="70">
        <f>(C54*D54)+(C55*D55)</f>
        <v>0</v>
      </c>
      <c r="F54" s="70">
        <f>E54+(C24*52*D54)+(C24*26*D55)</f>
        <v>0</v>
      </c>
      <c r="G54" s="15"/>
      <c r="H54" s="15"/>
      <c r="I54" s="15"/>
      <c r="J54" s="15"/>
      <c r="K54" s="15"/>
      <c r="L54" s="15"/>
    </row>
    <row r="55" spans="1:14" x14ac:dyDescent="0.2">
      <c r="A55" s="7" t="s">
        <v>47</v>
      </c>
      <c r="B55" s="7" t="s">
        <v>46</v>
      </c>
      <c r="C55" s="8">
        <f>D24+(C24*4.5)</f>
        <v>0</v>
      </c>
      <c r="D55" s="17">
        <v>0.5</v>
      </c>
      <c r="E55" s="71"/>
      <c r="F55" s="71"/>
      <c r="G55" s="33"/>
      <c r="H55" s="15"/>
      <c r="I55" s="15"/>
      <c r="J55" s="15"/>
      <c r="K55" s="15"/>
      <c r="L55" s="15"/>
    </row>
    <row r="56" spans="1:14" x14ac:dyDescent="0.2">
      <c r="A56" s="21"/>
      <c r="B56" s="18"/>
      <c r="C56" s="19"/>
      <c r="D56" s="20"/>
      <c r="E56" s="19"/>
      <c r="F56" s="19"/>
      <c r="G56" s="15"/>
      <c r="H56" s="15"/>
      <c r="I56" s="15"/>
      <c r="J56" s="15"/>
      <c r="K56" s="15"/>
      <c r="L56" s="15"/>
    </row>
    <row r="57" spans="1:14" x14ac:dyDescent="0.2">
      <c r="A57" s="12" t="s">
        <v>48</v>
      </c>
      <c r="B57" s="7" t="s">
        <v>49</v>
      </c>
      <c r="C57" s="8">
        <f>D25 + (C25*9)</f>
        <v>0</v>
      </c>
      <c r="D57" s="17">
        <v>0.2</v>
      </c>
      <c r="E57" s="70">
        <f>(C57*D57)+(C58*D58)</f>
        <v>0</v>
      </c>
      <c r="F57" s="70">
        <f>E57+(C25*52*D57)+(C25*26*D58)</f>
        <v>0</v>
      </c>
      <c r="G57" s="15"/>
      <c r="H57" s="15"/>
      <c r="I57" s="15"/>
      <c r="J57" s="15"/>
      <c r="K57" s="15"/>
      <c r="L57" s="15"/>
    </row>
    <row r="58" spans="1:14" x14ac:dyDescent="0.2">
      <c r="A58" s="12" t="s">
        <v>50</v>
      </c>
      <c r="B58" s="7" t="s">
        <v>49</v>
      </c>
      <c r="C58" s="8">
        <f>D25+(C25*4.5)</f>
        <v>0</v>
      </c>
      <c r="D58" s="17">
        <v>0.8</v>
      </c>
      <c r="E58" s="71"/>
      <c r="F58" s="71"/>
      <c r="G58" s="15"/>
      <c r="H58" s="15"/>
      <c r="I58" s="15"/>
      <c r="J58" s="15"/>
      <c r="K58" s="15"/>
      <c r="L58" s="15"/>
    </row>
    <row r="59" spans="1:14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1:14" x14ac:dyDescent="0.2">
      <c r="A60" t="s">
        <v>51</v>
      </c>
    </row>
    <row r="61" spans="1:14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1:14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1:14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 spans="1:14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 spans="1:14" x14ac:dyDescent="0.2">
      <c r="A69" s="72" t="s">
        <v>52</v>
      </c>
      <c r="B69" s="72"/>
      <c r="C69" s="72"/>
      <c r="D69" s="72"/>
      <c r="E69" s="72"/>
      <c r="F69" s="72"/>
      <c r="G69" s="15"/>
      <c r="H69" s="15"/>
      <c r="I69" s="15"/>
      <c r="J69" s="15"/>
      <c r="K69" s="15"/>
      <c r="L69" s="15"/>
      <c r="M69" s="15"/>
      <c r="N69" s="15"/>
    </row>
    <row r="70" spans="1:14" x14ac:dyDescent="0.2">
      <c r="A70" s="15"/>
    </row>
    <row r="71" spans="1:14" x14ac:dyDescent="0.2">
      <c r="A71" s="84" t="s">
        <v>53</v>
      </c>
      <c r="B71" s="85"/>
      <c r="C71" s="86"/>
      <c r="D71" s="22">
        <v>500</v>
      </c>
    </row>
    <row r="73" spans="1:14" ht="16" x14ac:dyDescent="0.2">
      <c r="B73" s="92" t="s">
        <v>54</v>
      </c>
      <c r="C73" s="92"/>
      <c r="D73" s="92"/>
      <c r="E73" s="92"/>
      <c r="F73" s="23"/>
      <c r="G73" s="77" t="s">
        <v>55</v>
      </c>
      <c r="H73" s="77"/>
      <c r="I73" s="77"/>
      <c r="J73" s="77"/>
    </row>
    <row r="74" spans="1:14" x14ac:dyDescent="0.2">
      <c r="A74" s="24" t="s">
        <v>10</v>
      </c>
      <c r="B74" s="38" t="s">
        <v>56</v>
      </c>
      <c r="C74" s="38" t="s">
        <v>57</v>
      </c>
      <c r="D74" s="38" t="s">
        <v>58</v>
      </c>
      <c r="E74" s="38" t="s">
        <v>59</v>
      </c>
      <c r="F74" s="25"/>
      <c r="G74" s="40" t="s">
        <v>56</v>
      </c>
      <c r="H74" s="40" t="s">
        <v>57</v>
      </c>
      <c r="I74" s="40" t="s">
        <v>58</v>
      </c>
      <c r="J74" s="40" t="s">
        <v>59</v>
      </c>
    </row>
    <row r="75" spans="1:14" x14ac:dyDescent="0.2">
      <c r="A75" s="7" t="s">
        <v>60</v>
      </c>
      <c r="B75" s="26">
        <v>0.03</v>
      </c>
      <c r="C75" s="27">
        <f>D71*B75</f>
        <v>15</v>
      </c>
      <c r="D75" s="30">
        <f>C75*E43</f>
        <v>0</v>
      </c>
      <c r="E75" s="30">
        <f>C75*F43</f>
        <v>0</v>
      </c>
      <c r="F75" s="31"/>
      <c r="G75" s="28">
        <v>0.03</v>
      </c>
      <c r="H75" s="22">
        <f>D71*G75</f>
        <v>15</v>
      </c>
      <c r="I75" s="32">
        <f>H75*E43</f>
        <v>0</v>
      </c>
      <c r="J75" s="32">
        <f>H75*F43</f>
        <v>0</v>
      </c>
    </row>
    <row r="76" spans="1:14" x14ac:dyDescent="0.2">
      <c r="A76" s="7" t="s">
        <v>61</v>
      </c>
      <c r="B76" s="26">
        <v>0.86</v>
      </c>
      <c r="C76" s="27">
        <f>D71*B76</f>
        <v>430</v>
      </c>
      <c r="D76" s="30">
        <f>C76*E46</f>
        <v>0</v>
      </c>
      <c r="E76" s="30">
        <f>C76*F46</f>
        <v>0</v>
      </c>
      <c r="G76" s="28">
        <v>0.66</v>
      </c>
      <c r="H76" s="22">
        <f>D71*G76</f>
        <v>330</v>
      </c>
      <c r="I76" s="32">
        <f>H76*E46</f>
        <v>0</v>
      </c>
      <c r="J76" s="32">
        <f>H76*F46</f>
        <v>0</v>
      </c>
    </row>
    <row r="77" spans="1:14" x14ac:dyDescent="0.2">
      <c r="A77" s="7" t="s">
        <v>62</v>
      </c>
      <c r="B77" s="26">
        <v>0.04</v>
      </c>
      <c r="C77" s="27">
        <f>D71*B77</f>
        <v>20</v>
      </c>
      <c r="D77" s="30">
        <f>C77*E48</f>
        <v>0</v>
      </c>
      <c r="E77" s="30">
        <f>C77*F48</f>
        <v>0</v>
      </c>
      <c r="G77" s="28">
        <v>0.24</v>
      </c>
      <c r="H77" s="22">
        <f>D71*G77</f>
        <v>120</v>
      </c>
      <c r="I77" s="32">
        <f>H77*E48</f>
        <v>0</v>
      </c>
      <c r="J77" s="32">
        <f>H77*F48</f>
        <v>0</v>
      </c>
    </row>
    <row r="78" spans="1:14" x14ac:dyDescent="0.2">
      <c r="A78" s="7" t="s">
        <v>63</v>
      </c>
      <c r="B78" s="26">
        <v>0.02</v>
      </c>
      <c r="C78" s="27">
        <f>D71*B78</f>
        <v>10</v>
      </c>
      <c r="D78" s="30">
        <f>C78*E51</f>
        <v>0</v>
      </c>
      <c r="E78" s="30">
        <f>C78*F51</f>
        <v>0</v>
      </c>
      <c r="G78" s="28">
        <v>0.02</v>
      </c>
      <c r="H78" s="22">
        <f>D71*G78</f>
        <v>10</v>
      </c>
      <c r="I78" s="32">
        <f>H78*E51</f>
        <v>0</v>
      </c>
      <c r="J78" s="32">
        <f>H78*F51</f>
        <v>0</v>
      </c>
    </row>
    <row r="79" spans="1:14" x14ac:dyDescent="0.2">
      <c r="A79" s="7" t="s">
        <v>64</v>
      </c>
      <c r="B79" s="26">
        <v>0.04</v>
      </c>
      <c r="C79" s="27">
        <f>D71*B79</f>
        <v>20</v>
      </c>
      <c r="D79" s="30">
        <f>C79*E54</f>
        <v>0</v>
      </c>
      <c r="E79" s="30">
        <f>C79*F54</f>
        <v>0</v>
      </c>
      <c r="G79" s="28">
        <v>0.04</v>
      </c>
      <c r="H79" s="22">
        <f>D71*G79</f>
        <v>20</v>
      </c>
      <c r="I79" s="32">
        <f>H79*E54</f>
        <v>0</v>
      </c>
      <c r="J79" s="32">
        <f>H79*F54</f>
        <v>0</v>
      </c>
    </row>
    <row r="80" spans="1:14" x14ac:dyDescent="0.2">
      <c r="A80" s="12" t="s">
        <v>65</v>
      </c>
      <c r="B80" s="26">
        <v>0.01</v>
      </c>
      <c r="C80" s="27">
        <f>D71*B80</f>
        <v>5</v>
      </c>
      <c r="D80" s="30">
        <f>C80*E57</f>
        <v>0</v>
      </c>
      <c r="E80" s="30">
        <f>C80*F57</f>
        <v>0</v>
      </c>
      <c r="G80" s="28">
        <v>0.01</v>
      </c>
      <c r="H80" s="22">
        <f>D71*G80</f>
        <v>5</v>
      </c>
      <c r="I80" s="32">
        <f>H80*E57</f>
        <v>0</v>
      </c>
      <c r="J80" s="32">
        <f>H80*F57</f>
        <v>0</v>
      </c>
    </row>
    <row r="81" spans="2:10" x14ac:dyDescent="0.2">
      <c r="B81" s="29">
        <f>SUM(B75:B80)</f>
        <v>1</v>
      </c>
      <c r="C81" s="1">
        <f>SUM(C75:C80)</f>
        <v>500</v>
      </c>
      <c r="D81" s="39">
        <f>SUM(D75:D80)</f>
        <v>0</v>
      </c>
      <c r="E81" s="39">
        <f>SUM(E75:E80)</f>
        <v>0</v>
      </c>
      <c r="G81" s="29">
        <f>SUM(G75:G80)</f>
        <v>1</v>
      </c>
      <c r="H81" s="1">
        <f>SUM(H75:H80)</f>
        <v>500</v>
      </c>
      <c r="I81" s="39">
        <f>SUM(I75:I80)</f>
        <v>0</v>
      </c>
      <c r="J81" s="39">
        <f>SUM(J75:J80)</f>
        <v>0</v>
      </c>
    </row>
    <row r="83" spans="2:10" ht="16" x14ac:dyDescent="0.2">
      <c r="G83" s="66" t="s">
        <v>66</v>
      </c>
      <c r="H83" s="66"/>
      <c r="I83" s="41">
        <f>D81-I81</f>
        <v>0</v>
      </c>
      <c r="J83" s="41">
        <f>E81-J81</f>
        <v>0</v>
      </c>
    </row>
    <row r="107" spans="1:1" x14ac:dyDescent="0.2">
      <c r="A107" s="8">
        <v>268</v>
      </c>
    </row>
    <row r="108" spans="1:1" x14ac:dyDescent="0.2">
      <c r="A108" s="8">
        <v>268</v>
      </c>
    </row>
    <row r="109" spans="1:1" x14ac:dyDescent="0.2">
      <c r="A109" s="8">
        <v>530</v>
      </c>
    </row>
    <row r="110" spans="1:1" x14ac:dyDescent="0.2">
      <c r="A110" s="8">
        <v>530</v>
      </c>
    </row>
    <row r="111" spans="1:1" x14ac:dyDescent="0.2">
      <c r="A111" s="8">
        <v>340</v>
      </c>
    </row>
    <row r="112" spans="1:1" x14ac:dyDescent="0.2">
      <c r="A112" s="8">
        <v>390</v>
      </c>
    </row>
    <row r="113" spans="1:1" x14ac:dyDescent="0.2">
      <c r="A113" s="8">
        <v>390</v>
      </c>
    </row>
    <row r="114" spans="1:1" x14ac:dyDescent="0.2">
      <c r="A114" s="8">
        <v>600</v>
      </c>
    </row>
    <row r="115" spans="1:1" x14ac:dyDescent="0.2">
      <c r="A115" s="8"/>
    </row>
    <row r="116" spans="1:1" x14ac:dyDescent="0.2">
      <c r="A116" s="13">
        <v>500</v>
      </c>
    </row>
  </sheetData>
  <mergeCells count="25">
    <mergeCell ref="A1:N10"/>
    <mergeCell ref="A11:F11"/>
    <mergeCell ref="A15:B15"/>
    <mergeCell ref="C15:D15"/>
    <mergeCell ref="E15:H15"/>
    <mergeCell ref="K15:N15"/>
    <mergeCell ref="A38:F38"/>
    <mergeCell ref="C40:F40"/>
    <mergeCell ref="A41:B41"/>
    <mergeCell ref="C41:E41"/>
    <mergeCell ref="E43:E44"/>
    <mergeCell ref="F43:F44"/>
    <mergeCell ref="E48:E49"/>
    <mergeCell ref="F48:F49"/>
    <mergeCell ref="E51:E52"/>
    <mergeCell ref="F51:F52"/>
    <mergeCell ref="E54:E55"/>
    <mergeCell ref="F54:F55"/>
    <mergeCell ref="G83:H83"/>
    <mergeCell ref="E57:E58"/>
    <mergeCell ref="F57:F58"/>
    <mergeCell ref="A69:F69"/>
    <mergeCell ref="A71:C71"/>
    <mergeCell ref="B73:E73"/>
    <mergeCell ref="G73:J7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98317-7C06-42F5-8D08-0330B106501C}">
  <dimension ref="A1:Q113"/>
  <sheetViews>
    <sheetView tabSelected="1" topLeftCell="A37" zoomScale="90" zoomScaleNormal="90" workbookViewId="0">
      <selection activeCell="J84" sqref="J84"/>
    </sheetView>
  </sheetViews>
  <sheetFormatPr baseColWidth="10" defaultColWidth="8.83203125" defaultRowHeight="15" x14ac:dyDescent="0.2"/>
  <cols>
    <col min="1" max="1" width="56.1640625" customWidth="1"/>
    <col min="2" max="2" width="18" customWidth="1"/>
    <col min="3" max="3" width="17.33203125" customWidth="1"/>
    <col min="4" max="5" width="16" customWidth="1"/>
    <col min="6" max="6" width="15.6640625" customWidth="1"/>
    <col min="7" max="7" width="15.33203125" customWidth="1"/>
    <col min="8" max="8" width="14.5" customWidth="1"/>
    <col min="9" max="9" width="14.83203125" customWidth="1"/>
    <col min="10" max="10" width="15.33203125" customWidth="1"/>
    <col min="11" max="11" width="15" customWidth="1"/>
    <col min="12" max="12" width="13.5" customWidth="1"/>
    <col min="13" max="13" width="14.33203125" customWidth="1"/>
    <col min="14" max="14" width="11.6640625" customWidth="1"/>
    <col min="15" max="15" width="12.5" customWidth="1"/>
    <col min="16" max="16" width="14.6640625" customWidth="1"/>
    <col min="17" max="17" width="11.5" customWidth="1"/>
    <col min="18" max="18" width="10.33203125" customWidth="1"/>
    <col min="19" max="19" width="11.5" customWidth="1"/>
    <col min="20" max="20" width="12.33203125" customWidth="1"/>
    <col min="21" max="21" width="12" customWidth="1"/>
    <col min="22" max="22" width="0" hidden="1" customWidth="1"/>
  </cols>
  <sheetData>
    <row r="1" spans="1:16" ht="17.25" customHeight="1" x14ac:dyDescent="0.2">
      <c r="A1" s="67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6" x14ac:dyDescent="0.2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</row>
    <row r="3" spans="1:16" x14ac:dyDescent="0.2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</row>
    <row r="4" spans="1:16" x14ac:dyDescent="0.2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</row>
    <row r="5" spans="1:16" x14ac:dyDescent="0.2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</row>
    <row r="6" spans="1:16" x14ac:dyDescent="0.2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</row>
    <row r="7" spans="1:16" x14ac:dyDescent="0.2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</row>
    <row r="8" spans="1:16" x14ac:dyDescent="0.2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</row>
    <row r="9" spans="1:16" x14ac:dyDescent="0.2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</row>
    <row r="10" spans="1:16" ht="9.75" customHeight="1" x14ac:dyDescent="0.2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</row>
    <row r="11" spans="1:16" ht="9.75" customHeight="1" x14ac:dyDescent="0.2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</row>
    <row r="12" spans="1:16" x14ac:dyDescent="0.2">
      <c r="A12" s="73" t="s">
        <v>1</v>
      </c>
      <c r="B12" s="73"/>
      <c r="C12" s="73"/>
      <c r="D12" s="65" t="s">
        <v>2</v>
      </c>
      <c r="E12" s="65"/>
      <c r="F12" s="65"/>
      <c r="G12" s="65"/>
      <c r="H12" s="65"/>
      <c r="I12" s="65"/>
      <c r="J12" s="65"/>
      <c r="K12" s="65"/>
      <c r="L12" s="65"/>
      <c r="M12" s="65"/>
      <c r="N12" s="1"/>
      <c r="O12" s="1"/>
    </row>
    <row r="13" spans="1:16" ht="95.25" customHeight="1" x14ac:dyDescent="0.2">
      <c r="A13" s="35"/>
      <c r="B13" s="35"/>
      <c r="D13" s="98" t="s">
        <v>76</v>
      </c>
      <c r="E13" s="64"/>
      <c r="F13" s="64"/>
      <c r="G13" s="64"/>
      <c r="H13" s="64"/>
      <c r="I13" s="64"/>
      <c r="J13" s="64"/>
      <c r="K13" s="64"/>
      <c r="L13" s="64"/>
      <c r="M13" s="64"/>
      <c r="N13" s="1"/>
      <c r="O13" s="1"/>
    </row>
    <row r="14" spans="1:16" x14ac:dyDescent="0.2">
      <c r="A14" s="35" t="s">
        <v>4</v>
      </c>
      <c r="B14" s="35" t="s">
        <v>5</v>
      </c>
      <c r="C14" s="35"/>
      <c r="D14" s="35"/>
      <c r="E14" s="35"/>
      <c r="F14" s="35"/>
      <c r="G14" s="35"/>
      <c r="H14" s="36"/>
      <c r="I14" s="36"/>
      <c r="J14" s="1"/>
      <c r="K14" s="1"/>
      <c r="L14" s="1"/>
      <c r="M14" s="1"/>
      <c r="N14" s="1"/>
      <c r="O14" s="1"/>
    </row>
    <row r="15" spans="1:16" x14ac:dyDescent="0.2">
      <c r="A15" s="35"/>
      <c r="B15" s="35"/>
      <c r="C15" s="35"/>
      <c r="D15" s="35"/>
      <c r="E15" s="35"/>
      <c r="F15" s="35"/>
      <c r="G15" s="35"/>
      <c r="H15" s="35"/>
      <c r="N15" s="1"/>
      <c r="O15" s="1"/>
    </row>
    <row r="16" spans="1:16" ht="16" x14ac:dyDescent="0.2">
      <c r="A16" s="83" t="s">
        <v>6</v>
      </c>
      <c r="B16" s="83"/>
      <c r="C16" s="99" t="s">
        <v>7</v>
      </c>
      <c r="D16" s="100"/>
      <c r="E16" s="87" t="s">
        <v>77</v>
      </c>
      <c r="F16" s="88"/>
      <c r="G16" s="88"/>
      <c r="H16" s="89"/>
      <c r="M16" s="78" t="s">
        <v>9</v>
      </c>
      <c r="N16" s="78"/>
      <c r="O16" s="78"/>
      <c r="P16" s="78"/>
    </row>
    <row r="17" spans="1:16" x14ac:dyDescent="0.2">
      <c r="A17" s="3" t="s">
        <v>10</v>
      </c>
      <c r="B17" s="3" t="s">
        <v>11</v>
      </c>
      <c r="C17" s="48" t="s">
        <v>12</v>
      </c>
      <c r="D17" s="55" t="s">
        <v>13</v>
      </c>
      <c r="E17" s="42" t="s">
        <v>14</v>
      </c>
      <c r="F17" s="5" t="s">
        <v>15</v>
      </c>
      <c r="G17" s="5" t="s">
        <v>16</v>
      </c>
      <c r="H17" s="5" t="s">
        <v>17</v>
      </c>
      <c r="M17" s="6" t="s">
        <v>14</v>
      </c>
      <c r="N17" s="6" t="s">
        <v>15</v>
      </c>
      <c r="O17" s="6" t="s">
        <v>16</v>
      </c>
      <c r="P17" s="6" t="s">
        <v>17</v>
      </c>
    </row>
    <row r="18" spans="1:16" x14ac:dyDescent="0.2">
      <c r="A18" s="7" t="s">
        <v>18</v>
      </c>
      <c r="B18" s="45" t="s">
        <v>19</v>
      </c>
      <c r="C18" s="44">
        <v>268</v>
      </c>
      <c r="D18" s="56">
        <f>C18*13</f>
        <v>3484</v>
      </c>
      <c r="E18" s="9">
        <f>IFERROR(D18/M18*100,"N/A")</f>
        <v>4584.21052631579</v>
      </c>
      <c r="F18" s="9">
        <f>IFERROR(D18/N18*100,"N/A")</f>
        <v>6334.545454545454</v>
      </c>
      <c r="G18" s="9">
        <f>IFERROR(D18/O18*100,"N/A")</f>
        <v>10887.5</v>
      </c>
      <c r="H18" s="9">
        <f>IFERROR(D18/P18*100,"N/A")</f>
        <v>11238.709677419356</v>
      </c>
      <c r="J18" s="44">
        <v>268</v>
      </c>
      <c r="K18" s="46">
        <v>896.76</v>
      </c>
      <c r="M18" s="10">
        <v>76</v>
      </c>
      <c r="N18" s="10">
        <v>55</v>
      </c>
      <c r="O18" s="10">
        <v>32</v>
      </c>
      <c r="P18" s="10">
        <v>31</v>
      </c>
    </row>
    <row r="19" spans="1:16" x14ac:dyDescent="0.2">
      <c r="A19" s="7" t="s">
        <v>20</v>
      </c>
      <c r="B19" s="45" t="s">
        <v>19</v>
      </c>
      <c r="C19" s="44">
        <v>268</v>
      </c>
      <c r="D19" s="56">
        <f>C19*13</f>
        <v>3484</v>
      </c>
      <c r="E19" s="9">
        <f t="shared" ref="E19:E28" si="0">IFERROR(D19/M19*100,"N/A")</f>
        <v>4051.1627906976742</v>
      </c>
      <c r="F19" s="9">
        <f t="shared" ref="F19:F28" si="1">IFERROR(D19/N19*100,"N/A")</f>
        <v>4907.0422535211264</v>
      </c>
      <c r="G19" s="9">
        <f t="shared" ref="G19:G28" si="2">IFERROR(D19/O19*100,"N/A")</f>
        <v>7110.2040816326535</v>
      </c>
      <c r="H19" s="9">
        <f t="shared" ref="H19:H28" si="3">IFERROR(D19/P19*100,"N/A")</f>
        <v>7258.333333333333</v>
      </c>
      <c r="J19" s="44">
        <v>268</v>
      </c>
      <c r="K19" s="46">
        <v>893.76</v>
      </c>
      <c r="M19" s="10">
        <v>86</v>
      </c>
      <c r="N19" s="10">
        <v>71</v>
      </c>
      <c r="O19" s="10">
        <v>49</v>
      </c>
      <c r="P19" s="10">
        <v>48</v>
      </c>
    </row>
    <row r="20" spans="1:16" x14ac:dyDescent="0.2">
      <c r="A20" s="7" t="s">
        <v>21</v>
      </c>
      <c r="B20" s="45" t="s">
        <v>19</v>
      </c>
      <c r="C20" s="44">
        <v>400</v>
      </c>
      <c r="D20" s="56">
        <f t="shared" ref="D20" si="4">C20*13</f>
        <v>5200</v>
      </c>
      <c r="E20" s="9">
        <f t="shared" si="0"/>
        <v>8000</v>
      </c>
      <c r="F20" s="9">
        <f t="shared" si="1"/>
        <v>12380.952380952382</v>
      </c>
      <c r="G20" s="9">
        <f t="shared" si="2"/>
        <v>32500</v>
      </c>
      <c r="H20" s="9">
        <f t="shared" si="3"/>
        <v>24761.904761904763</v>
      </c>
      <c r="J20" s="44">
        <v>400</v>
      </c>
      <c r="K20" s="46">
        <v>805.56</v>
      </c>
      <c r="M20" s="10">
        <v>65</v>
      </c>
      <c r="N20" s="10">
        <v>42</v>
      </c>
      <c r="O20" s="10">
        <v>16</v>
      </c>
      <c r="P20" s="10">
        <v>21</v>
      </c>
    </row>
    <row r="21" spans="1:16" x14ac:dyDescent="0.2">
      <c r="A21" s="7" t="s">
        <v>22</v>
      </c>
      <c r="B21" s="45" t="s">
        <v>19</v>
      </c>
      <c r="C21" s="44">
        <v>400</v>
      </c>
      <c r="D21" s="56">
        <f>C21*13</f>
        <v>5200</v>
      </c>
      <c r="E21" s="9">
        <f t="shared" si="0"/>
        <v>8000</v>
      </c>
      <c r="F21" s="9">
        <f t="shared" si="1"/>
        <v>12380.952380952382</v>
      </c>
      <c r="G21" s="9">
        <f t="shared" si="2"/>
        <v>23636.363636363636</v>
      </c>
      <c r="H21" s="9">
        <f t="shared" si="3"/>
        <v>19259.259259259259</v>
      </c>
      <c r="J21" s="44">
        <v>400</v>
      </c>
      <c r="K21" s="46">
        <v>805.56</v>
      </c>
      <c r="M21" s="10">
        <v>65</v>
      </c>
      <c r="N21" s="10">
        <v>42</v>
      </c>
      <c r="O21" s="10">
        <v>22</v>
      </c>
      <c r="P21" s="10">
        <v>27</v>
      </c>
    </row>
    <row r="22" spans="1:16" x14ac:dyDescent="0.2">
      <c r="A22" s="7" t="s">
        <v>23</v>
      </c>
      <c r="B22" s="45" t="s">
        <v>19</v>
      </c>
      <c r="C22" s="44">
        <v>550</v>
      </c>
      <c r="D22" s="56">
        <f>C22*13.5</f>
        <v>7425</v>
      </c>
      <c r="E22" s="9">
        <f t="shared" si="0"/>
        <v>9398.7341772151885</v>
      </c>
      <c r="F22" s="9">
        <f t="shared" si="1"/>
        <v>12584.745762711864</v>
      </c>
      <c r="G22" s="9">
        <f t="shared" si="2"/>
        <v>20625</v>
      </c>
      <c r="H22" s="9">
        <f t="shared" si="3"/>
        <v>21214.285714285714</v>
      </c>
      <c r="J22" s="44">
        <v>550</v>
      </c>
      <c r="K22" s="46">
        <v>1264.8900000000001</v>
      </c>
      <c r="M22" s="10">
        <v>79</v>
      </c>
      <c r="N22" s="10">
        <v>59</v>
      </c>
      <c r="O22" s="10">
        <v>36</v>
      </c>
      <c r="P22" s="10">
        <v>35</v>
      </c>
    </row>
    <row r="23" spans="1:16" x14ac:dyDescent="0.2">
      <c r="A23" s="7" t="s">
        <v>78</v>
      </c>
      <c r="B23" s="45" t="s">
        <v>19</v>
      </c>
      <c r="C23" s="44">
        <v>600</v>
      </c>
      <c r="D23" s="56">
        <f>C23*9.5</f>
        <v>5700</v>
      </c>
      <c r="E23" s="9">
        <f t="shared" si="0"/>
        <v>7916.666666666667</v>
      </c>
      <c r="F23" s="9">
        <f t="shared" si="1"/>
        <v>10363.636363636364</v>
      </c>
      <c r="G23" s="9">
        <f t="shared" si="2"/>
        <v>20357.142857142859</v>
      </c>
      <c r="H23" s="9">
        <f t="shared" si="3"/>
        <v>18387.096774193549</v>
      </c>
      <c r="J23" s="44">
        <v>500</v>
      </c>
      <c r="K23" s="46">
        <v>2271.2600000000002</v>
      </c>
      <c r="M23" s="10">
        <v>72</v>
      </c>
      <c r="N23" s="10">
        <v>55</v>
      </c>
      <c r="O23" s="10">
        <v>28</v>
      </c>
      <c r="P23" s="10">
        <v>31</v>
      </c>
    </row>
    <row r="24" spans="1:16" x14ac:dyDescent="0.2">
      <c r="A24" s="7" t="s">
        <v>79</v>
      </c>
      <c r="B24" s="45" t="s">
        <v>19</v>
      </c>
      <c r="C24" s="44">
        <v>600</v>
      </c>
      <c r="D24" s="56">
        <f>C24*10.5</f>
        <v>6300</v>
      </c>
      <c r="E24" s="9">
        <f t="shared" ref="E24" si="5">IFERROR(D24/M24*100,"N/A")</f>
        <v>8750</v>
      </c>
      <c r="F24" s="9">
        <f t="shared" ref="F24" si="6">IFERROR(D24/N24*100,"N/A")</f>
        <v>11454.545454545454</v>
      </c>
      <c r="G24" s="9">
        <f t="shared" ref="G24" si="7">IFERROR(D24/O24*100,"N/A")</f>
        <v>22500</v>
      </c>
      <c r="H24" s="9">
        <f t="shared" ref="H24" si="8">IFERROR(D24/P24*100,"N/A")</f>
        <v>20322.580645161288</v>
      </c>
      <c r="J24" s="44">
        <v>500</v>
      </c>
      <c r="K24" s="46">
        <v>2271.2600000000002</v>
      </c>
      <c r="M24" s="10">
        <v>72</v>
      </c>
      <c r="N24" s="10">
        <v>55</v>
      </c>
      <c r="O24" s="10">
        <v>28</v>
      </c>
      <c r="P24" s="10">
        <v>31</v>
      </c>
    </row>
    <row r="25" spans="1:16" x14ac:dyDescent="0.2">
      <c r="A25" s="7" t="s">
        <v>80</v>
      </c>
      <c r="B25" s="45" t="s">
        <v>19</v>
      </c>
      <c r="C25" s="44">
        <v>600</v>
      </c>
      <c r="D25" s="56">
        <f>C25*9</f>
        <v>5400</v>
      </c>
      <c r="E25" s="9">
        <f>IFERROR(D25/M25*100,"N/A")</f>
        <v>8307.6923076923085</v>
      </c>
      <c r="F25" s="9">
        <f t="shared" si="1"/>
        <v>16363.636363636362</v>
      </c>
      <c r="G25" s="9">
        <f t="shared" si="2"/>
        <v>33750</v>
      </c>
      <c r="H25" s="9">
        <f>IFERROR(D25/P25*100,"N/A")</f>
        <v>36000</v>
      </c>
      <c r="J25" s="44">
        <v>600</v>
      </c>
      <c r="K25" s="46">
        <v>1070</v>
      </c>
      <c r="M25" s="10">
        <v>65</v>
      </c>
      <c r="N25" s="10">
        <v>33</v>
      </c>
      <c r="O25" s="10">
        <v>16</v>
      </c>
      <c r="P25" s="10">
        <v>15</v>
      </c>
    </row>
    <row r="26" spans="1:16" x14ac:dyDescent="0.2">
      <c r="A26" s="7" t="s">
        <v>81</v>
      </c>
      <c r="B26" s="45" t="s">
        <v>19</v>
      </c>
      <c r="C26" s="44">
        <v>600</v>
      </c>
      <c r="D26" s="56">
        <f>C26*13.5</f>
        <v>8100</v>
      </c>
      <c r="E26" s="9">
        <f>IFERROR(D26/M26*100,"N/A")</f>
        <v>12461.538461538461</v>
      </c>
      <c r="F26" s="9">
        <f t="shared" ref="F26" si="9">IFERROR(D26/N26*100,"N/A")</f>
        <v>24545.454545454548</v>
      </c>
      <c r="G26" s="9">
        <f t="shared" ref="G26" si="10">IFERROR(D26/O26*100,"N/A")</f>
        <v>50625</v>
      </c>
      <c r="H26" s="9">
        <f>IFERROR(D26/P26*100,"N/A")</f>
        <v>54000</v>
      </c>
      <c r="J26" s="44">
        <v>600</v>
      </c>
      <c r="K26" s="46">
        <v>1070</v>
      </c>
      <c r="M26" s="10">
        <v>65</v>
      </c>
      <c r="N26" s="10">
        <v>33</v>
      </c>
      <c r="O26" s="10">
        <v>16</v>
      </c>
      <c r="P26" s="10">
        <v>15</v>
      </c>
    </row>
    <row r="27" spans="1:16" x14ac:dyDescent="0.2">
      <c r="A27" s="7" t="s">
        <v>26</v>
      </c>
      <c r="B27" s="45" t="s">
        <v>19</v>
      </c>
      <c r="C27" s="44">
        <v>330</v>
      </c>
      <c r="D27" s="56">
        <f>C27*13</f>
        <v>4290</v>
      </c>
      <c r="E27" s="9">
        <f t="shared" si="0"/>
        <v>4931.0344827586205</v>
      </c>
      <c r="F27" s="9">
        <f t="shared" si="1"/>
        <v>6500</v>
      </c>
      <c r="G27" s="9">
        <f t="shared" si="2"/>
        <v>9976.7441860465115</v>
      </c>
      <c r="H27" s="9">
        <f t="shared" si="3"/>
        <v>8937.5</v>
      </c>
      <c r="J27" s="44">
        <v>340</v>
      </c>
      <c r="K27" s="46">
        <v>805.56</v>
      </c>
      <c r="M27" s="10">
        <v>87</v>
      </c>
      <c r="N27" s="10">
        <v>66</v>
      </c>
      <c r="O27" s="10">
        <v>43</v>
      </c>
      <c r="P27" s="10">
        <v>48</v>
      </c>
    </row>
    <row r="28" spans="1:16" x14ac:dyDescent="0.2">
      <c r="A28" s="12" t="s">
        <v>27</v>
      </c>
      <c r="B28" s="45" t="s">
        <v>19</v>
      </c>
      <c r="C28" s="44">
        <v>550</v>
      </c>
      <c r="D28" s="57">
        <f>C28*13</f>
        <v>7150</v>
      </c>
      <c r="E28" s="9">
        <f t="shared" si="0"/>
        <v>7857.1428571428569</v>
      </c>
      <c r="F28" s="9">
        <f t="shared" si="1"/>
        <v>9407.894736842105</v>
      </c>
      <c r="G28" s="9">
        <f t="shared" si="2"/>
        <v>12118.644067796611</v>
      </c>
      <c r="H28" s="9">
        <f t="shared" si="3"/>
        <v>11532.258064516129</v>
      </c>
      <c r="J28" s="44">
        <v>550</v>
      </c>
      <c r="K28" s="47">
        <v>1281.54</v>
      </c>
      <c r="M28" s="10">
        <v>91</v>
      </c>
      <c r="N28" s="10">
        <v>76</v>
      </c>
      <c r="O28" s="10">
        <v>59</v>
      </c>
      <c r="P28" s="10">
        <v>62</v>
      </c>
    </row>
    <row r="29" spans="1:16" x14ac:dyDescent="0.2">
      <c r="A29" s="14"/>
      <c r="B29" s="14"/>
      <c r="D29" s="14"/>
      <c r="E29" s="14"/>
      <c r="F29" s="14"/>
    </row>
    <row r="31" spans="1:16" x14ac:dyDescent="0.2">
      <c r="A31" t="s">
        <v>28</v>
      </c>
    </row>
    <row r="32" spans="1:16" ht="32" x14ac:dyDescent="0.2">
      <c r="A32" s="37" t="s">
        <v>29</v>
      </c>
    </row>
    <row r="34" spans="1:17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7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7" x14ac:dyDescent="0.2">
      <c r="A36" s="15"/>
      <c r="B36" s="15"/>
      <c r="C36" s="15"/>
      <c r="D36" s="15"/>
      <c r="E36" s="15"/>
      <c r="F36" s="15"/>
      <c r="G36" s="15"/>
      <c r="H36" s="101" t="s">
        <v>82</v>
      </c>
      <c r="I36" s="65"/>
      <c r="J36" s="65"/>
      <c r="K36" s="65"/>
      <c r="L36" s="65"/>
      <c r="M36" s="65"/>
      <c r="N36" s="65"/>
      <c r="O36" s="65"/>
      <c r="P36" s="65"/>
      <c r="Q36" s="65"/>
    </row>
    <row r="37" spans="1:17" ht="111" customHeight="1" x14ac:dyDescent="0.2">
      <c r="A37" s="69" t="s">
        <v>30</v>
      </c>
      <c r="B37" s="69"/>
      <c r="C37" s="69"/>
      <c r="D37" s="69"/>
      <c r="E37" s="69"/>
      <c r="F37" s="69"/>
      <c r="G37" s="69"/>
      <c r="H37" s="102" t="s">
        <v>83</v>
      </c>
      <c r="I37" s="64"/>
      <c r="J37" s="64"/>
      <c r="K37" s="64"/>
      <c r="L37" s="64"/>
      <c r="M37" s="64"/>
      <c r="N37" s="64"/>
      <c r="O37" s="64"/>
      <c r="P37" s="64"/>
      <c r="Q37" s="64"/>
    </row>
    <row r="38" spans="1:17" x14ac:dyDescent="0.2">
      <c r="A38" s="25"/>
      <c r="B38" s="25"/>
      <c r="C38" s="25"/>
      <c r="D38" s="25"/>
      <c r="E38" s="25"/>
      <c r="F38" s="25"/>
      <c r="G38" s="25"/>
    </row>
    <row r="39" spans="1:17" ht="15.75" customHeight="1" x14ac:dyDescent="0.2">
      <c r="A39" s="15"/>
      <c r="B39" s="15"/>
      <c r="C39" s="104" t="s">
        <v>84</v>
      </c>
      <c r="D39" s="93"/>
      <c r="E39" s="93"/>
      <c r="F39" s="93"/>
    </row>
    <row r="40" spans="1:17" ht="31.5" customHeight="1" x14ac:dyDescent="0.2">
      <c r="A40" s="83" t="s">
        <v>6</v>
      </c>
      <c r="B40" s="103"/>
      <c r="C40" s="58"/>
      <c r="D40" s="61" t="s">
        <v>85</v>
      </c>
      <c r="E40" s="59" t="s">
        <v>86</v>
      </c>
      <c r="F40" s="60" t="s">
        <v>87</v>
      </c>
      <c r="G40" s="15"/>
      <c r="H40" s="15"/>
      <c r="I40" s="15"/>
      <c r="J40" s="15"/>
      <c r="K40" s="15"/>
      <c r="L40" s="15"/>
      <c r="M40" s="15"/>
    </row>
    <row r="41" spans="1:17" x14ac:dyDescent="0.2">
      <c r="A41" s="3" t="s">
        <v>10</v>
      </c>
      <c r="B41" s="3" t="s">
        <v>11</v>
      </c>
      <c r="C41" s="16" t="s">
        <v>36</v>
      </c>
      <c r="D41" s="62" t="s">
        <v>37</v>
      </c>
      <c r="E41" s="16" t="s">
        <v>37</v>
      </c>
      <c r="F41" s="16" t="s">
        <v>37</v>
      </c>
      <c r="G41" s="15"/>
      <c r="H41" s="15"/>
      <c r="I41" s="15"/>
      <c r="J41" s="15"/>
    </row>
    <row r="42" spans="1:17" x14ac:dyDescent="0.2">
      <c r="A42" s="7" t="s">
        <v>20</v>
      </c>
      <c r="B42" s="7" t="s">
        <v>38</v>
      </c>
      <c r="C42" s="17">
        <v>0.7</v>
      </c>
      <c r="D42" s="108">
        <f>(C42*D18)+(C43*D19)</f>
        <v>3484</v>
      </c>
      <c r="E42" s="70">
        <f>(C42*E18)+(C43*E19)</f>
        <v>4424.296205630355</v>
      </c>
      <c r="F42" s="70">
        <f>E42*D67</f>
        <v>2212148.1028151773</v>
      </c>
      <c r="G42" s="15"/>
      <c r="H42" s="15"/>
      <c r="I42" s="15"/>
      <c r="J42" s="15"/>
    </row>
    <row r="43" spans="1:17" x14ac:dyDescent="0.2">
      <c r="A43" s="7" t="s">
        <v>18</v>
      </c>
      <c r="B43" s="7" t="s">
        <v>38</v>
      </c>
      <c r="C43" s="17">
        <v>0.3</v>
      </c>
      <c r="D43" s="109"/>
      <c r="E43" s="71"/>
      <c r="F43" s="71"/>
      <c r="G43" s="15"/>
      <c r="H43" s="15"/>
      <c r="I43" s="15"/>
      <c r="J43" s="15"/>
    </row>
    <row r="44" spans="1:17" x14ac:dyDescent="0.2">
      <c r="A44" s="18"/>
      <c r="B44" s="18"/>
      <c r="C44" s="20"/>
      <c r="D44" s="63"/>
      <c r="E44" s="19"/>
      <c r="F44" s="19"/>
      <c r="G44" s="15"/>
      <c r="H44" s="15"/>
      <c r="I44" s="15"/>
      <c r="J44" s="15"/>
    </row>
    <row r="45" spans="1:17" x14ac:dyDescent="0.2">
      <c r="A45" s="7" t="s">
        <v>39</v>
      </c>
      <c r="B45" s="7" t="s">
        <v>40</v>
      </c>
      <c r="C45" s="17">
        <v>1</v>
      </c>
      <c r="D45" s="63">
        <f>C45*D22</f>
        <v>7425</v>
      </c>
      <c r="E45" s="8">
        <f>C45*E22</f>
        <v>9398.7341772151885</v>
      </c>
      <c r="F45" s="8">
        <f>E45*D67</f>
        <v>4699367.0886075944</v>
      </c>
      <c r="G45" s="15"/>
      <c r="H45" s="15"/>
      <c r="I45" s="15"/>
      <c r="J45" s="15"/>
    </row>
    <row r="46" spans="1:17" x14ac:dyDescent="0.2">
      <c r="A46" s="18"/>
      <c r="B46" s="18"/>
      <c r="C46" s="20"/>
      <c r="D46" s="63"/>
      <c r="E46" s="19"/>
      <c r="F46" s="19"/>
      <c r="G46" s="15"/>
      <c r="H46" s="15"/>
      <c r="I46" s="15"/>
      <c r="J46" s="15"/>
    </row>
    <row r="47" spans="1:17" x14ac:dyDescent="0.2">
      <c r="A47" s="7" t="s">
        <v>27</v>
      </c>
      <c r="B47" s="7" t="s">
        <v>41</v>
      </c>
      <c r="C47" s="17">
        <v>0.7</v>
      </c>
      <c r="D47" s="108">
        <f>(C47*D28)+(C48*D27)</f>
        <v>6292</v>
      </c>
      <c r="E47" s="70">
        <f>(C47*E28)+(C48*E27)</f>
        <v>6979.3103448275851</v>
      </c>
      <c r="F47" s="70">
        <f>E47*D67</f>
        <v>3489655.1724137925</v>
      </c>
      <c r="G47" s="15"/>
      <c r="H47" s="15"/>
      <c r="I47" s="15"/>
      <c r="J47" s="15"/>
    </row>
    <row r="48" spans="1:17" x14ac:dyDescent="0.2">
      <c r="A48" s="7" t="s">
        <v>26</v>
      </c>
      <c r="B48" s="7" t="s">
        <v>42</v>
      </c>
      <c r="C48" s="17">
        <v>0.3</v>
      </c>
      <c r="D48" s="109"/>
      <c r="E48" s="71"/>
      <c r="F48" s="71"/>
      <c r="G48" s="15"/>
      <c r="H48" s="15"/>
      <c r="I48" s="15"/>
      <c r="J48" s="15"/>
    </row>
    <row r="49" spans="1:15" x14ac:dyDescent="0.2">
      <c r="A49" s="18"/>
      <c r="B49" s="18"/>
      <c r="C49" s="20"/>
      <c r="D49" s="63"/>
      <c r="E49" s="19"/>
      <c r="F49" s="19"/>
      <c r="G49" s="15"/>
      <c r="H49" s="15"/>
      <c r="I49" s="15"/>
      <c r="J49" s="15"/>
    </row>
    <row r="50" spans="1:15" x14ac:dyDescent="0.2">
      <c r="A50" s="7" t="s">
        <v>21</v>
      </c>
      <c r="B50" s="7" t="s">
        <v>43</v>
      </c>
      <c r="C50" s="17">
        <v>0.5</v>
      </c>
      <c r="D50" s="108">
        <f>(C50*D20)+(C51*D20)</f>
        <v>5200</v>
      </c>
      <c r="E50" s="70">
        <f>(C50*E20)+(C51*E21)</f>
        <v>8000</v>
      </c>
      <c r="F50" s="70">
        <f>E50*D67</f>
        <v>4000000</v>
      </c>
      <c r="G50" s="15"/>
      <c r="H50" s="15"/>
      <c r="I50" s="15"/>
      <c r="J50" s="15"/>
    </row>
    <row r="51" spans="1:15" x14ac:dyDescent="0.2">
      <c r="A51" s="7" t="s">
        <v>22</v>
      </c>
      <c r="B51" s="7" t="s">
        <v>44</v>
      </c>
      <c r="C51" s="17">
        <v>0.5</v>
      </c>
      <c r="D51" s="109"/>
      <c r="E51" s="71"/>
      <c r="F51" s="71"/>
      <c r="G51" s="15"/>
      <c r="H51" s="15"/>
      <c r="I51" s="15"/>
      <c r="J51" s="15"/>
    </row>
    <row r="52" spans="1:15" x14ac:dyDescent="0.2">
      <c r="A52" s="18"/>
      <c r="B52" s="18"/>
      <c r="C52" s="20"/>
      <c r="D52" s="63"/>
      <c r="E52" s="19"/>
      <c r="F52" s="19"/>
      <c r="G52" s="15"/>
      <c r="H52" s="15"/>
      <c r="I52" s="15"/>
      <c r="J52" s="15"/>
    </row>
    <row r="53" spans="1:15" x14ac:dyDescent="0.2">
      <c r="A53" s="7" t="s">
        <v>45</v>
      </c>
      <c r="B53" s="7" t="s">
        <v>46</v>
      </c>
      <c r="C53" s="17">
        <v>0.2</v>
      </c>
      <c r="D53" s="108">
        <f>(C53*D26)+(C54*D25)</f>
        <v>5940</v>
      </c>
      <c r="E53" s="70">
        <f>(C53*E26)+(C54*E25)</f>
        <v>9138.461538461539</v>
      </c>
      <c r="F53" s="70">
        <f>E53*D67</f>
        <v>4569230.7692307699</v>
      </c>
      <c r="G53" s="15"/>
      <c r="H53" s="15"/>
      <c r="I53" s="15"/>
      <c r="J53" s="15"/>
    </row>
    <row r="54" spans="1:15" x14ac:dyDescent="0.2">
      <c r="A54" s="7" t="s">
        <v>47</v>
      </c>
      <c r="B54" s="7" t="s">
        <v>46</v>
      </c>
      <c r="C54" s="17">
        <v>0.8</v>
      </c>
      <c r="D54" s="109"/>
      <c r="E54" s="71"/>
      <c r="F54" s="71"/>
      <c r="G54" s="15"/>
      <c r="H54" s="15"/>
      <c r="I54" s="15"/>
      <c r="J54" s="15"/>
    </row>
    <row r="55" spans="1:15" x14ac:dyDescent="0.2">
      <c r="A55" s="21"/>
      <c r="B55" s="18"/>
      <c r="C55" s="20"/>
      <c r="D55" s="63"/>
      <c r="E55" s="19"/>
      <c r="F55" s="19"/>
      <c r="G55" s="15"/>
      <c r="H55" s="15"/>
      <c r="I55" s="15"/>
      <c r="J55" s="15"/>
    </row>
    <row r="56" spans="1:15" x14ac:dyDescent="0.2">
      <c r="A56" s="12" t="s">
        <v>48</v>
      </c>
      <c r="B56" s="7" t="s">
        <v>49</v>
      </c>
      <c r="C56" s="17">
        <v>0.2</v>
      </c>
      <c r="D56" s="108">
        <f>(C57*D23)+(C56*D24)</f>
        <v>5820</v>
      </c>
      <c r="E56" s="70">
        <f>(C56*E24)+(C57*(E23))</f>
        <v>8083.3333333333339</v>
      </c>
      <c r="F56" s="70">
        <f>E56*D67</f>
        <v>4041666.666666667</v>
      </c>
      <c r="G56" s="15"/>
      <c r="H56" s="15"/>
      <c r="I56" s="15"/>
      <c r="J56" s="15"/>
    </row>
    <row r="57" spans="1:15" x14ac:dyDescent="0.2">
      <c r="A57" s="12" t="s">
        <v>50</v>
      </c>
      <c r="B57" s="7" t="s">
        <v>49</v>
      </c>
      <c r="C57" s="17">
        <v>0.8</v>
      </c>
      <c r="D57" s="109"/>
      <c r="E57" s="71"/>
      <c r="F57" s="71"/>
      <c r="G57" s="15"/>
      <c r="H57" s="15"/>
      <c r="I57" s="15"/>
      <c r="J57" s="15"/>
    </row>
    <row r="58" spans="1:15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1:15" x14ac:dyDescent="0.2">
      <c r="A59" t="s">
        <v>51</v>
      </c>
    </row>
    <row r="60" spans="1:15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6" x14ac:dyDescent="0.2">
      <c r="A65" s="72" t="s">
        <v>52</v>
      </c>
      <c r="B65" s="72"/>
      <c r="C65" s="72"/>
      <c r="D65" s="72"/>
      <c r="E65" s="72"/>
      <c r="F65" s="72"/>
      <c r="G65" s="72"/>
      <c r="H65" s="15"/>
      <c r="I65" s="15"/>
      <c r="J65" s="15"/>
      <c r="K65" s="15"/>
      <c r="L65" s="15"/>
      <c r="M65" s="15"/>
      <c r="N65" s="15"/>
      <c r="O65" s="15"/>
    </row>
    <row r="66" spans="1:16" x14ac:dyDescent="0.2">
      <c r="A66" s="15"/>
    </row>
    <row r="67" spans="1:16" x14ac:dyDescent="0.2">
      <c r="A67" s="84" t="s">
        <v>53</v>
      </c>
      <c r="B67" s="85"/>
      <c r="C67" s="86"/>
      <c r="D67" s="22">
        <v>500</v>
      </c>
    </row>
    <row r="69" spans="1:16" x14ac:dyDescent="0.2">
      <c r="B69" s="105" t="s">
        <v>88</v>
      </c>
      <c r="C69" s="105"/>
      <c r="D69" s="105"/>
      <c r="E69" s="105"/>
      <c r="F69" s="105"/>
      <c r="G69" s="105"/>
      <c r="H69" s="105"/>
      <c r="J69" s="105" t="s">
        <v>89</v>
      </c>
      <c r="K69" s="106"/>
      <c r="L69" s="106"/>
      <c r="M69" s="106"/>
      <c r="N69" s="106"/>
      <c r="O69" s="106"/>
      <c r="P69" s="106"/>
    </row>
    <row r="70" spans="1:16" ht="16" x14ac:dyDescent="0.2">
      <c r="B70" s="92" t="s">
        <v>54</v>
      </c>
      <c r="C70" s="92"/>
      <c r="D70" s="92"/>
      <c r="E70" s="52"/>
      <c r="F70" s="107" t="s">
        <v>55</v>
      </c>
      <c r="G70" s="107"/>
      <c r="H70" s="107"/>
      <c r="J70" s="92" t="s">
        <v>54</v>
      </c>
      <c r="K70" s="92"/>
      <c r="L70" s="92"/>
      <c r="M70" s="18"/>
      <c r="N70" s="92" t="s">
        <v>90</v>
      </c>
      <c r="O70" s="92"/>
      <c r="P70" s="92"/>
    </row>
    <row r="71" spans="1:16" x14ac:dyDescent="0.2">
      <c r="A71" s="50" t="s">
        <v>10</v>
      </c>
      <c r="B71" s="53" t="s">
        <v>56</v>
      </c>
      <c r="C71" s="53" t="s">
        <v>57</v>
      </c>
      <c r="D71" s="53" t="s">
        <v>58</v>
      </c>
      <c r="E71" s="52"/>
      <c r="F71" s="53" t="s">
        <v>56</v>
      </c>
      <c r="G71" s="53" t="s">
        <v>57</v>
      </c>
      <c r="H71" s="53" t="s">
        <v>58</v>
      </c>
      <c r="J71" s="53" t="s">
        <v>56</v>
      </c>
      <c r="K71" s="53" t="s">
        <v>57</v>
      </c>
      <c r="L71" s="53" t="s">
        <v>58</v>
      </c>
      <c r="M71" s="18"/>
      <c r="N71" s="53" t="s">
        <v>56</v>
      </c>
      <c r="O71" s="53" t="s">
        <v>57</v>
      </c>
      <c r="P71" s="53" t="s">
        <v>58</v>
      </c>
    </row>
    <row r="72" spans="1:16" x14ac:dyDescent="0.2">
      <c r="A72" s="45" t="s">
        <v>60</v>
      </c>
      <c r="B72" s="26">
        <v>0.03</v>
      </c>
      <c r="C72" s="27">
        <f>D67*B72</f>
        <v>15</v>
      </c>
      <c r="D72" s="30">
        <f>C72*D42</f>
        <v>52260</v>
      </c>
      <c r="E72" s="54"/>
      <c r="F72" s="26">
        <v>0.4</v>
      </c>
      <c r="G72" s="27">
        <f>D67*F72</f>
        <v>200</v>
      </c>
      <c r="H72" s="30">
        <f>G72*D42</f>
        <v>696800</v>
      </c>
      <c r="J72" s="26">
        <v>0.03</v>
      </c>
      <c r="K72" s="27">
        <f>D67*J72</f>
        <v>15</v>
      </c>
      <c r="L72" s="30">
        <f>K72*E42</f>
        <v>66364.443084455328</v>
      </c>
      <c r="M72" s="18"/>
      <c r="N72" s="26">
        <v>0.4</v>
      </c>
      <c r="O72" s="27">
        <f>D67*N72</f>
        <v>200</v>
      </c>
      <c r="P72" s="30">
        <f>O72*E42</f>
        <v>884859.24112607096</v>
      </c>
    </row>
    <row r="73" spans="1:16" x14ac:dyDescent="0.2">
      <c r="A73" s="45" t="s">
        <v>61</v>
      </c>
      <c r="B73" s="26">
        <v>0.86</v>
      </c>
      <c r="C73" s="27">
        <f>D67*B73</f>
        <v>430</v>
      </c>
      <c r="D73" s="30">
        <f>C73*D45</f>
        <v>3192750</v>
      </c>
      <c r="E73" s="18"/>
      <c r="F73" s="26">
        <v>0.5</v>
      </c>
      <c r="G73" s="27">
        <f>D67*F73</f>
        <v>250</v>
      </c>
      <c r="H73" s="30">
        <f>G73*D45</f>
        <v>1856250</v>
      </c>
      <c r="J73" s="26">
        <v>0.86</v>
      </c>
      <c r="K73" s="27">
        <f>D67*J73</f>
        <v>430</v>
      </c>
      <c r="L73" s="30">
        <f>K73*E45</f>
        <v>4041455.696202531</v>
      </c>
      <c r="M73" s="18"/>
      <c r="N73" s="26">
        <v>0.5</v>
      </c>
      <c r="O73" s="27">
        <f>D67*N73</f>
        <v>250</v>
      </c>
      <c r="P73" s="30">
        <f>O73*E45</f>
        <v>2349683.5443037972</v>
      </c>
    </row>
    <row r="74" spans="1:16" x14ac:dyDescent="0.2">
      <c r="A74" s="45" t="s">
        <v>62</v>
      </c>
      <c r="B74" s="26">
        <v>0.04</v>
      </c>
      <c r="C74" s="27">
        <f>D67*B74</f>
        <v>20</v>
      </c>
      <c r="D74" s="30">
        <f>C74*D47</f>
        <v>125840</v>
      </c>
      <c r="E74" s="18"/>
      <c r="F74" s="26">
        <v>0.03</v>
      </c>
      <c r="G74" s="27">
        <f>D67*F74</f>
        <v>15</v>
      </c>
      <c r="H74" s="30">
        <f>G74*D47</f>
        <v>94380</v>
      </c>
      <c r="J74" s="26">
        <v>0.04</v>
      </c>
      <c r="K74" s="27">
        <f>D67*J74</f>
        <v>20</v>
      </c>
      <c r="L74" s="30">
        <f>K74*E47</f>
        <v>139586.20689655171</v>
      </c>
      <c r="M74" s="18"/>
      <c r="N74" s="26">
        <v>0.03</v>
      </c>
      <c r="O74" s="27">
        <f>D67*N74</f>
        <v>15</v>
      </c>
      <c r="P74" s="30">
        <f>O74*E47</f>
        <v>104689.65517241378</v>
      </c>
    </row>
    <row r="75" spans="1:16" x14ac:dyDescent="0.2">
      <c r="A75" s="45" t="s">
        <v>63</v>
      </c>
      <c r="B75" s="26">
        <v>0.02</v>
      </c>
      <c r="C75" s="27">
        <f>D67*B75</f>
        <v>10</v>
      </c>
      <c r="D75" s="30">
        <f>C75*D50</f>
        <v>52000</v>
      </c>
      <c r="E75" s="18"/>
      <c r="F75" s="26">
        <v>0.02</v>
      </c>
      <c r="G75" s="27">
        <f>D67*F75</f>
        <v>10</v>
      </c>
      <c r="H75" s="30">
        <f>G75*D50</f>
        <v>52000</v>
      </c>
      <c r="J75" s="26">
        <v>0.02</v>
      </c>
      <c r="K75" s="27">
        <f>D67*J75</f>
        <v>10</v>
      </c>
      <c r="L75" s="30">
        <f>K75*E50</f>
        <v>80000</v>
      </c>
      <c r="M75" s="18"/>
      <c r="N75" s="26">
        <v>0.02</v>
      </c>
      <c r="O75" s="27">
        <f>D67*N75</f>
        <v>10</v>
      </c>
      <c r="P75" s="30">
        <f>O75*E50</f>
        <v>80000</v>
      </c>
    </row>
    <row r="76" spans="1:16" x14ac:dyDescent="0.2">
      <c r="A76" s="45" t="s">
        <v>64</v>
      </c>
      <c r="B76" s="26">
        <v>0.04</v>
      </c>
      <c r="C76" s="27">
        <f>D67*B76</f>
        <v>20</v>
      </c>
      <c r="D76" s="30">
        <f>C76*D53</f>
        <v>118800</v>
      </c>
      <c r="E76" s="18"/>
      <c r="F76" s="26">
        <v>0.04</v>
      </c>
      <c r="G76" s="27">
        <f>D67*F76</f>
        <v>20</v>
      </c>
      <c r="H76" s="30">
        <f>G76*D53</f>
        <v>118800</v>
      </c>
      <c r="J76" s="26">
        <v>0.04</v>
      </c>
      <c r="K76" s="27">
        <f>D67*J76</f>
        <v>20</v>
      </c>
      <c r="L76" s="30">
        <f>K76*E53</f>
        <v>182769.23076923078</v>
      </c>
      <c r="M76" s="18"/>
      <c r="N76" s="26">
        <v>0.04</v>
      </c>
      <c r="O76" s="27">
        <f>D67*N76</f>
        <v>20</v>
      </c>
      <c r="P76" s="30">
        <f>O76*E53</f>
        <v>182769.23076923078</v>
      </c>
    </row>
    <row r="77" spans="1:16" x14ac:dyDescent="0.2">
      <c r="A77" s="51" t="s">
        <v>65</v>
      </c>
      <c r="B77" s="26">
        <v>0.01</v>
      </c>
      <c r="C77" s="27">
        <f>D67*B77</f>
        <v>5</v>
      </c>
      <c r="D77" s="30">
        <f>C77*D56</f>
        <v>29100</v>
      </c>
      <c r="E77" s="18"/>
      <c r="F77" s="26">
        <v>0.01</v>
      </c>
      <c r="G77" s="27">
        <f>D67*F77</f>
        <v>5</v>
      </c>
      <c r="H77" s="30">
        <f>G77*D56</f>
        <v>29100</v>
      </c>
      <c r="J77" s="26">
        <v>0.01</v>
      </c>
      <c r="K77" s="27">
        <f>D67*J77</f>
        <v>5</v>
      </c>
      <c r="L77" s="30">
        <f>K77*E56</f>
        <v>40416.666666666672</v>
      </c>
      <c r="M77" s="18"/>
      <c r="N77" s="26">
        <v>0.01</v>
      </c>
      <c r="O77" s="27">
        <f>D67*N77</f>
        <v>5</v>
      </c>
      <c r="P77" s="30">
        <f>O77*E56</f>
        <v>40416.666666666672</v>
      </c>
    </row>
    <row r="78" spans="1:16" x14ac:dyDescent="0.2">
      <c r="B78" s="29">
        <f>SUM(B72:B77)</f>
        <v>1</v>
      </c>
      <c r="C78" s="1">
        <f>SUM(C72:C77)</f>
        <v>500</v>
      </c>
      <c r="D78" s="39">
        <f>SUM(D72:D77)</f>
        <v>3570750</v>
      </c>
      <c r="F78" s="29">
        <f>SUM(F72:F77)</f>
        <v>1</v>
      </c>
      <c r="G78" s="1">
        <f>SUM(G72:G77)</f>
        <v>500</v>
      </c>
      <c r="H78" s="39">
        <f>SUM(H72:H77)</f>
        <v>2847330</v>
      </c>
      <c r="J78" s="29">
        <f>SUM(J72:J77)</f>
        <v>1</v>
      </c>
      <c r="K78" s="1">
        <f>SUM(K72:K77)</f>
        <v>500</v>
      </c>
      <c r="L78" s="39">
        <f>SUM(L72:L77)</f>
        <v>4550592.2436194364</v>
      </c>
      <c r="N78" s="29">
        <f>SUM(N72:N77)</f>
        <v>1</v>
      </c>
      <c r="O78" s="1">
        <f>SUM(O72:O77)</f>
        <v>500</v>
      </c>
      <c r="P78" s="39">
        <f>SUM(P72:P77)</f>
        <v>3642418.3380381791</v>
      </c>
    </row>
    <row r="80" spans="1:16" ht="16" x14ac:dyDescent="0.2">
      <c r="E80" s="66" t="s">
        <v>66</v>
      </c>
      <c r="F80" s="66"/>
      <c r="G80" s="41">
        <f>D78-H78</f>
        <v>723420</v>
      </c>
      <c r="M80" s="66" t="s">
        <v>66</v>
      </c>
      <c r="N80" s="66"/>
      <c r="O80" s="41">
        <f>L78-P78</f>
        <v>908173.90558125731</v>
      </c>
    </row>
    <row r="104" spans="1:1" x14ac:dyDescent="0.2">
      <c r="A104" s="8">
        <v>268</v>
      </c>
    </row>
    <row r="105" spans="1:1" x14ac:dyDescent="0.2">
      <c r="A105" s="8">
        <v>268</v>
      </c>
    </row>
    <row r="106" spans="1:1" x14ac:dyDescent="0.2">
      <c r="A106" s="8">
        <v>530</v>
      </c>
    </row>
    <row r="107" spans="1:1" x14ac:dyDescent="0.2">
      <c r="A107" s="8">
        <v>530</v>
      </c>
    </row>
    <row r="108" spans="1:1" x14ac:dyDescent="0.2">
      <c r="A108" s="8">
        <v>340</v>
      </c>
    </row>
    <row r="109" spans="1:1" x14ac:dyDescent="0.2">
      <c r="A109" s="8">
        <v>390</v>
      </c>
    </row>
    <row r="110" spans="1:1" x14ac:dyDescent="0.2">
      <c r="A110" s="8">
        <v>390</v>
      </c>
    </row>
    <row r="111" spans="1:1" x14ac:dyDescent="0.2">
      <c r="A111" s="8">
        <v>600</v>
      </c>
    </row>
    <row r="112" spans="1:1" x14ac:dyDescent="0.2">
      <c r="A112" s="8"/>
    </row>
    <row r="113" spans="1:1" x14ac:dyDescent="0.2">
      <c r="A113" s="13">
        <v>500</v>
      </c>
    </row>
  </sheetData>
  <autoFilter ref="A17:M28" xr:uid="{17CA3959-DC19-4F53-82F9-EC63A22F1E6D}">
    <sortState xmlns:xlrd2="http://schemas.microsoft.com/office/spreadsheetml/2017/richdata2" ref="A18:M28">
      <sortCondition ref="A17:A28"/>
    </sortState>
  </autoFilter>
  <mergeCells count="38">
    <mergeCell ref="A67:C67"/>
    <mergeCell ref="F42:F43"/>
    <mergeCell ref="F47:F48"/>
    <mergeCell ref="F50:F51"/>
    <mergeCell ref="F53:F54"/>
    <mergeCell ref="F56:F57"/>
    <mergeCell ref="E42:E43"/>
    <mergeCell ref="D53:D54"/>
    <mergeCell ref="D56:D57"/>
    <mergeCell ref="A65:G65"/>
    <mergeCell ref="D42:D43"/>
    <mergeCell ref="D47:D48"/>
    <mergeCell ref="D50:D51"/>
    <mergeCell ref="E47:E48"/>
    <mergeCell ref="E50:E51"/>
    <mergeCell ref="E53:E54"/>
    <mergeCell ref="J70:L70"/>
    <mergeCell ref="N70:P70"/>
    <mergeCell ref="M80:N80"/>
    <mergeCell ref="B69:H69"/>
    <mergeCell ref="J69:P69"/>
    <mergeCell ref="B70:D70"/>
    <mergeCell ref="F70:H70"/>
    <mergeCell ref="E80:F80"/>
    <mergeCell ref="E56:E57"/>
    <mergeCell ref="A1:O10"/>
    <mergeCell ref="A12:C12"/>
    <mergeCell ref="D12:M12"/>
    <mergeCell ref="D13:M13"/>
    <mergeCell ref="A16:B16"/>
    <mergeCell ref="C16:D16"/>
    <mergeCell ref="M16:P16"/>
    <mergeCell ref="E16:H16"/>
    <mergeCell ref="H36:Q36"/>
    <mergeCell ref="A37:G37"/>
    <mergeCell ref="H37:Q37"/>
    <mergeCell ref="A40:B40"/>
    <mergeCell ref="C39:F39"/>
  </mergeCells>
  <conditionalFormatting sqref="E18:E28">
    <cfRule type="colorScale" priority="4">
      <colorScale>
        <cfvo type="min"/>
        <cfvo type="percentile" val="20"/>
        <cfvo type="max"/>
        <color theme="9"/>
        <color rgb="FFFFEB84"/>
        <color rgb="FFFF0000"/>
      </colorScale>
    </cfRule>
    <cfRule type="colorScale" priority="5">
      <colorScale>
        <cfvo type="min"/>
        <cfvo type="percentile" val="80"/>
        <cfvo type="max"/>
        <color theme="9" tint="0.39997558519241921"/>
        <color rgb="FFFFEB84"/>
        <color rgb="FFFF0000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8:F28">
    <cfRule type="colorScale" priority="3">
      <colorScale>
        <cfvo type="min"/>
        <cfvo type="percentile" val="20"/>
        <cfvo type="max"/>
        <color theme="9"/>
        <color rgb="FFFFEB84"/>
        <color rgb="FFFF0000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8:G28">
    <cfRule type="colorScale" priority="2">
      <colorScale>
        <cfvo type="min"/>
        <cfvo type="percentile" val="20"/>
        <cfvo type="max"/>
        <color theme="9"/>
        <color rgb="FFFFEB84"/>
        <color rgb="FFFF0000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8:H28">
    <cfRule type="colorScale" priority="1">
      <colorScale>
        <cfvo type="min"/>
        <cfvo type="percentile" val="20"/>
        <cfvo type="max"/>
        <color theme="9"/>
        <color rgb="FFFFEB84"/>
        <color rgb="FFFF0000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54771-0FE5-43AC-B57B-47CCB8E9C39B}">
  <dimension ref="A1:G29"/>
  <sheetViews>
    <sheetView workbookViewId="0">
      <selection activeCell="K26" sqref="K26"/>
    </sheetView>
  </sheetViews>
  <sheetFormatPr baseColWidth="10" defaultColWidth="8.83203125" defaultRowHeight="15" x14ac:dyDescent="0.2"/>
  <cols>
    <col min="2" max="2" width="14.6640625" customWidth="1"/>
    <col min="3" max="3" width="13.83203125" customWidth="1"/>
    <col min="4" max="4" width="15.83203125" customWidth="1"/>
    <col min="5" max="5" width="27.5" customWidth="1"/>
    <col min="6" max="6" width="29.5" customWidth="1"/>
    <col min="7" max="7" width="13.83203125" customWidth="1"/>
  </cols>
  <sheetData>
    <row r="1" spans="1:7" x14ac:dyDescent="0.2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</row>
    <row r="2" spans="1:7" x14ac:dyDescent="0.2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2">
      <c r="A3">
        <v>2</v>
      </c>
      <c r="B3">
        <v>0.5</v>
      </c>
      <c r="C3">
        <v>0.5</v>
      </c>
      <c r="D3">
        <v>0.5</v>
      </c>
      <c r="E3">
        <v>1</v>
      </c>
      <c r="F3">
        <v>1</v>
      </c>
      <c r="G3">
        <v>0</v>
      </c>
    </row>
    <row r="4" spans="1:7" x14ac:dyDescent="0.2">
      <c r="A4">
        <v>4</v>
      </c>
      <c r="B4">
        <v>0.5</v>
      </c>
      <c r="C4">
        <v>0.5</v>
      </c>
      <c r="D4">
        <v>0.5</v>
      </c>
      <c r="E4">
        <v>0.5</v>
      </c>
      <c r="F4">
        <v>0.5</v>
      </c>
      <c r="G4">
        <v>1</v>
      </c>
    </row>
    <row r="5" spans="1:7" x14ac:dyDescent="0.2">
      <c r="A5">
        <v>6</v>
      </c>
      <c r="B5">
        <v>0.5</v>
      </c>
      <c r="C5">
        <v>0.5</v>
      </c>
      <c r="D5">
        <v>0.5</v>
      </c>
      <c r="E5">
        <v>0.5</v>
      </c>
      <c r="F5">
        <v>0.5</v>
      </c>
      <c r="G5">
        <v>0</v>
      </c>
    </row>
    <row r="6" spans="1:7" x14ac:dyDescent="0.2">
      <c r="A6">
        <v>8</v>
      </c>
      <c r="B6">
        <v>0.5</v>
      </c>
      <c r="C6">
        <v>0.5</v>
      </c>
      <c r="D6">
        <v>0.5</v>
      </c>
      <c r="E6">
        <v>0.5</v>
      </c>
      <c r="F6">
        <v>0.5</v>
      </c>
      <c r="G6">
        <v>1</v>
      </c>
    </row>
    <row r="7" spans="1:7" x14ac:dyDescent="0.2">
      <c r="A7">
        <v>10</v>
      </c>
      <c r="B7">
        <v>0.5</v>
      </c>
      <c r="C7">
        <v>0.5</v>
      </c>
      <c r="D7">
        <v>0.5</v>
      </c>
      <c r="E7">
        <v>0.5</v>
      </c>
      <c r="F7">
        <v>0.5</v>
      </c>
      <c r="G7">
        <v>0</v>
      </c>
    </row>
    <row r="8" spans="1:7" x14ac:dyDescent="0.2">
      <c r="A8">
        <v>12</v>
      </c>
      <c r="B8">
        <v>0.5</v>
      </c>
      <c r="C8">
        <v>0.5</v>
      </c>
      <c r="D8">
        <v>0.5</v>
      </c>
      <c r="E8">
        <v>0.5</v>
      </c>
      <c r="F8">
        <v>0.5</v>
      </c>
      <c r="G8">
        <v>1</v>
      </c>
    </row>
    <row r="9" spans="1:7" x14ac:dyDescent="0.2">
      <c r="A9">
        <v>14</v>
      </c>
      <c r="B9">
        <v>0.5</v>
      </c>
      <c r="C9">
        <v>0.5</v>
      </c>
      <c r="D9">
        <v>0.5</v>
      </c>
      <c r="E9">
        <v>0.5</v>
      </c>
      <c r="F9">
        <v>0.5</v>
      </c>
      <c r="G9">
        <v>0</v>
      </c>
    </row>
    <row r="10" spans="1:7" x14ac:dyDescent="0.2">
      <c r="A10">
        <v>16</v>
      </c>
      <c r="B10">
        <v>0.5</v>
      </c>
      <c r="C10">
        <v>0.5</v>
      </c>
      <c r="D10">
        <v>0.5</v>
      </c>
      <c r="E10">
        <v>0.5</v>
      </c>
      <c r="F10">
        <v>0.5</v>
      </c>
      <c r="G10">
        <v>1</v>
      </c>
    </row>
    <row r="11" spans="1:7" x14ac:dyDescent="0.2">
      <c r="A11">
        <v>18</v>
      </c>
      <c r="B11">
        <v>0</v>
      </c>
      <c r="C11">
        <v>0.5</v>
      </c>
      <c r="D11">
        <v>0.5</v>
      </c>
      <c r="E11">
        <v>0</v>
      </c>
      <c r="F11">
        <v>0.5</v>
      </c>
      <c r="G11">
        <v>0</v>
      </c>
    </row>
    <row r="12" spans="1:7" x14ac:dyDescent="0.2">
      <c r="A12">
        <v>20</v>
      </c>
      <c r="B12">
        <v>0.5</v>
      </c>
      <c r="C12">
        <v>0.5</v>
      </c>
      <c r="D12">
        <v>0.5</v>
      </c>
      <c r="E12">
        <v>0.5</v>
      </c>
      <c r="F12">
        <v>0.5</v>
      </c>
      <c r="G12">
        <v>1</v>
      </c>
    </row>
    <row r="13" spans="1:7" x14ac:dyDescent="0.2">
      <c r="A13">
        <v>22</v>
      </c>
      <c r="B13">
        <v>0</v>
      </c>
      <c r="C13">
        <v>0.5</v>
      </c>
      <c r="D13">
        <v>0.5</v>
      </c>
      <c r="E13">
        <v>0</v>
      </c>
      <c r="F13">
        <v>0.5</v>
      </c>
      <c r="G13">
        <v>0</v>
      </c>
    </row>
    <row r="14" spans="1:7" x14ac:dyDescent="0.2">
      <c r="A14">
        <v>24</v>
      </c>
      <c r="B14">
        <v>0.5</v>
      </c>
      <c r="C14">
        <v>0.5</v>
      </c>
      <c r="D14">
        <v>0.5</v>
      </c>
      <c r="E14">
        <v>0.5</v>
      </c>
      <c r="F14">
        <v>0.5</v>
      </c>
      <c r="G14">
        <v>1</v>
      </c>
    </row>
    <row r="15" spans="1:7" x14ac:dyDescent="0.2">
      <c r="A15">
        <v>26</v>
      </c>
      <c r="B15">
        <v>0</v>
      </c>
      <c r="C15">
        <v>0.5</v>
      </c>
      <c r="D15">
        <v>0.5</v>
      </c>
      <c r="E15">
        <v>0</v>
      </c>
      <c r="F15">
        <v>0</v>
      </c>
      <c r="G15">
        <v>0</v>
      </c>
    </row>
    <row r="16" spans="1:7" x14ac:dyDescent="0.2">
      <c r="A16">
        <v>28</v>
      </c>
      <c r="B16">
        <v>0.5</v>
      </c>
      <c r="C16">
        <v>0.5</v>
      </c>
      <c r="D16">
        <v>0.5</v>
      </c>
      <c r="E16">
        <v>0.5</v>
      </c>
      <c r="F16">
        <v>0.5</v>
      </c>
      <c r="G16">
        <v>1</v>
      </c>
    </row>
    <row r="17" spans="1:7" x14ac:dyDescent="0.2">
      <c r="A17">
        <v>30</v>
      </c>
      <c r="B17">
        <v>0</v>
      </c>
      <c r="C17">
        <v>0.5</v>
      </c>
      <c r="D17">
        <v>0.5</v>
      </c>
      <c r="E17">
        <v>0</v>
      </c>
      <c r="F17">
        <v>0</v>
      </c>
      <c r="G17">
        <v>0</v>
      </c>
    </row>
    <row r="18" spans="1:7" x14ac:dyDescent="0.2">
      <c r="A18">
        <v>32</v>
      </c>
      <c r="B18">
        <v>0.5</v>
      </c>
      <c r="C18">
        <v>0.5</v>
      </c>
      <c r="D18">
        <v>0.5</v>
      </c>
      <c r="E18">
        <v>0.5</v>
      </c>
      <c r="F18">
        <v>0.5</v>
      </c>
      <c r="G18">
        <v>1</v>
      </c>
    </row>
    <row r="19" spans="1:7" x14ac:dyDescent="0.2">
      <c r="A19">
        <v>34</v>
      </c>
      <c r="B19">
        <v>0</v>
      </c>
      <c r="C19">
        <v>0.5</v>
      </c>
      <c r="D19">
        <v>0.5</v>
      </c>
      <c r="E19">
        <v>0</v>
      </c>
      <c r="F19">
        <v>0</v>
      </c>
      <c r="G19">
        <v>0</v>
      </c>
    </row>
    <row r="20" spans="1:7" x14ac:dyDescent="0.2">
      <c r="A20">
        <v>36</v>
      </c>
      <c r="B20">
        <v>0.5</v>
      </c>
      <c r="C20">
        <v>0.5</v>
      </c>
      <c r="D20">
        <v>0.5</v>
      </c>
      <c r="E20">
        <v>0.5</v>
      </c>
      <c r="F20">
        <v>0.5</v>
      </c>
      <c r="G20">
        <v>1</v>
      </c>
    </row>
    <row r="21" spans="1:7" x14ac:dyDescent="0.2">
      <c r="A21">
        <v>38</v>
      </c>
      <c r="B21">
        <v>0</v>
      </c>
      <c r="C21">
        <v>0.5</v>
      </c>
      <c r="D21">
        <v>0.5</v>
      </c>
      <c r="E21">
        <v>0</v>
      </c>
      <c r="F21">
        <v>0</v>
      </c>
      <c r="G21">
        <v>0</v>
      </c>
    </row>
    <row r="22" spans="1:7" x14ac:dyDescent="0.2">
      <c r="A22">
        <v>40</v>
      </c>
      <c r="B22">
        <v>0.5</v>
      </c>
      <c r="C22">
        <v>0.5</v>
      </c>
      <c r="D22">
        <v>0.5</v>
      </c>
      <c r="E22">
        <v>0.5</v>
      </c>
      <c r="F22">
        <v>0.5</v>
      </c>
      <c r="G22">
        <v>1</v>
      </c>
    </row>
    <row r="23" spans="1:7" x14ac:dyDescent="0.2">
      <c r="A23">
        <v>42</v>
      </c>
      <c r="B23">
        <v>0</v>
      </c>
      <c r="C23">
        <v>0.5</v>
      </c>
      <c r="D23">
        <v>0.5</v>
      </c>
      <c r="E23">
        <v>0</v>
      </c>
      <c r="F23">
        <v>0</v>
      </c>
      <c r="G23">
        <v>0</v>
      </c>
    </row>
    <row r="24" spans="1:7" x14ac:dyDescent="0.2">
      <c r="A24">
        <v>44</v>
      </c>
      <c r="B24">
        <v>0.5</v>
      </c>
      <c r="C24">
        <v>0.5</v>
      </c>
      <c r="D24">
        <v>0.5</v>
      </c>
      <c r="E24">
        <v>0.5</v>
      </c>
      <c r="F24">
        <v>0.5</v>
      </c>
      <c r="G24">
        <v>1</v>
      </c>
    </row>
    <row r="25" spans="1:7" x14ac:dyDescent="0.2">
      <c r="A25">
        <v>46</v>
      </c>
      <c r="B25">
        <v>0</v>
      </c>
      <c r="C25">
        <v>0.5</v>
      </c>
      <c r="D25">
        <v>0.5</v>
      </c>
      <c r="E25">
        <v>0</v>
      </c>
      <c r="F25">
        <v>0</v>
      </c>
      <c r="G25">
        <v>0</v>
      </c>
    </row>
    <row r="26" spans="1:7" x14ac:dyDescent="0.2">
      <c r="A26">
        <v>48</v>
      </c>
      <c r="B26">
        <v>0.5</v>
      </c>
      <c r="C26">
        <v>0.5</v>
      </c>
      <c r="D26">
        <v>0.5</v>
      </c>
      <c r="E26">
        <v>0.5</v>
      </c>
      <c r="F26">
        <v>0.5</v>
      </c>
      <c r="G26">
        <v>1</v>
      </c>
    </row>
    <row r="27" spans="1:7" x14ac:dyDescent="0.2">
      <c r="A27">
        <v>50</v>
      </c>
      <c r="B27">
        <v>0</v>
      </c>
      <c r="C27">
        <v>0.5</v>
      </c>
      <c r="D27">
        <v>0.5</v>
      </c>
      <c r="E27">
        <v>0</v>
      </c>
      <c r="F27">
        <v>0</v>
      </c>
      <c r="G27">
        <v>0</v>
      </c>
    </row>
    <row r="28" spans="1:7" x14ac:dyDescent="0.2">
      <c r="A28">
        <v>52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">
      <c r="B29" s="1">
        <f t="shared" ref="B29:G29" si="0">SUM(B2:B28)</f>
        <v>9</v>
      </c>
      <c r="C29" s="1">
        <f t="shared" si="0"/>
        <v>13.5</v>
      </c>
      <c r="D29" s="1">
        <f t="shared" si="0"/>
        <v>13.5</v>
      </c>
      <c r="E29" s="1">
        <f t="shared" si="0"/>
        <v>9.5</v>
      </c>
      <c r="F29" s="1">
        <f t="shared" si="0"/>
        <v>10.5</v>
      </c>
      <c r="G29" s="1">
        <f t="shared" si="0"/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562D9-26AF-4F30-8290-AD1296A23875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469F3-86E2-4A14-99E7-D1CFEF5F0CC7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C1AC46D2DB049908B7764B36A739D" ma:contentTypeVersion="4" ma:contentTypeDescription="Create a new document." ma:contentTypeScope="" ma:versionID="ad9d8daad896767a67ccfa7b48a776a5">
  <xsd:schema xmlns:xsd="http://www.w3.org/2001/XMLSchema" xmlns:xs="http://www.w3.org/2001/XMLSchema" xmlns:p="http://schemas.microsoft.com/office/2006/metadata/properties" xmlns:ns2="a286dfea-52b9-4d48-9863-dd2ebb7ba937" targetNamespace="http://schemas.microsoft.com/office/2006/metadata/properties" ma:root="true" ma:fieldsID="2542eb411bdafb09d46063ec96800139" ns2:_="">
    <xsd:import namespace="a286dfea-52b9-4d48-9863-dd2ebb7ba9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6dfea-52b9-4d48-9863-dd2ebb7ba9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BC8CE1-126F-4ABA-AA97-ACA7DA6F56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2EC0C9-D758-49C7-9E61-B5C9BA42F43A}">
  <ds:schemaRefs>
    <ds:schemaRef ds:uri="http://schemas.microsoft.com/office/2006/documentManagement/types"/>
    <ds:schemaRef ds:uri="http://purl.org/dc/terms/"/>
    <ds:schemaRef ds:uri="http://purl.org/dc/elements/1.1/"/>
    <ds:schemaRef ds:uri="a286dfea-52b9-4d48-9863-dd2ebb7ba937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C35561C-D97D-4F67-A241-FC605BC814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86dfea-52b9-4d48-9863-dd2ebb7ba9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SPC (combination with TCS)</vt:lpstr>
      <vt:lpstr>NMA (Monotherapy)</vt:lpstr>
      <vt:lpstr>Drucker NMA (NEW)</vt:lpstr>
      <vt:lpstr>Dosing Schedule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McAleer, Michael</dc:creator>
  <cp:keywords/>
  <dc:description/>
  <cp:lastModifiedBy>Buyukonat, Ilkay</cp:lastModifiedBy>
  <cp:revision/>
  <dcterms:created xsi:type="dcterms:W3CDTF">2024-11-21T11:03:49Z</dcterms:created>
  <dcterms:modified xsi:type="dcterms:W3CDTF">2025-03-21T14:12:02Z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6f34de-6201-4396-9b5e-7ee7670aa56c_Enabled">
    <vt:lpwstr>true</vt:lpwstr>
  </property>
  <property fmtid="{D5CDD505-2E9C-101B-9397-08002B2CF9AE}" pid="3" name="MSIP_Label_e96f34de-6201-4396-9b5e-7ee7670aa56c_SetDate">
    <vt:lpwstr>2024-11-21T16:40:47Z</vt:lpwstr>
  </property>
  <property fmtid="{D5CDD505-2E9C-101B-9397-08002B2CF9AE}" pid="4" name="MSIP_Label_e96f34de-6201-4396-9b5e-7ee7670aa56c_Method">
    <vt:lpwstr>Privileged</vt:lpwstr>
  </property>
  <property fmtid="{D5CDD505-2E9C-101B-9397-08002B2CF9AE}" pid="5" name="MSIP_Label_e96f34de-6201-4396-9b5e-7ee7670aa56c_Name">
    <vt:lpwstr>e96f34de-6201-4396-9b5e-7ee7670aa56c</vt:lpwstr>
  </property>
  <property fmtid="{D5CDD505-2E9C-101B-9397-08002B2CF9AE}" pid="6" name="MSIP_Label_e96f34de-6201-4396-9b5e-7ee7670aa56c_SiteId">
    <vt:lpwstr>7a916015-20ae-4ad1-9170-eefd915e9272</vt:lpwstr>
  </property>
  <property fmtid="{D5CDD505-2E9C-101B-9397-08002B2CF9AE}" pid="7" name="MSIP_Label_e96f34de-6201-4396-9b5e-7ee7670aa56c_ActionId">
    <vt:lpwstr>a6e88ae3-7809-4da4-a622-156971305d18</vt:lpwstr>
  </property>
  <property fmtid="{D5CDD505-2E9C-101B-9397-08002B2CF9AE}" pid="8" name="MSIP_Label_e96f34de-6201-4396-9b5e-7ee7670aa56c_ContentBits">
    <vt:lpwstr>0</vt:lpwstr>
  </property>
  <property fmtid="{D5CDD505-2E9C-101B-9397-08002B2CF9AE}" pid="9" name="ContentTypeId">
    <vt:lpwstr>0x010100EAAC1AC46D2DB049908B7764B36A739D</vt:lpwstr>
  </property>
</Properties>
</file>